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ill\Downloads\"/>
    </mc:Choice>
  </mc:AlternateContent>
  <xr:revisionPtr revIDLastSave="0" documentId="13_ncr:1_{F2E1AB39-0778-4965-9872-4777590235E6}" xr6:coauthVersionLast="47" xr6:coauthVersionMax="47" xr10:uidLastSave="{00000000-0000-0000-0000-000000000000}"/>
  <bookViews>
    <workbookView xWindow="-108" yWindow="-108" windowWidth="23256" windowHeight="13176" tabRatio="500" activeTab="3" xr2:uid="{00000000-000D-0000-FFFF-FFFF00000000}"/>
  </bookViews>
  <sheets>
    <sheet name="PORTADA" sheetId="1" r:id="rId1"/>
    <sheet name="TABLA_MORT" sheetId="2" r:id="rId2"/>
    <sheet name="PARAMETROS" sheetId="3" r:id="rId3"/>
    <sheet name="CALCULO" sheetId="4" r:id="rId4"/>
    <sheet name="REPORTE" sheetId="5" r:id="rId5"/>
  </sheets>
  <functionGroups builtInGroupCount="19"/>
  <definedNames>
    <definedName name="Anualidad_Temp">CALCULO!$C$76</definedName>
    <definedName name="edad_emision">PARAMETROS!$C$5</definedName>
    <definedName name="factor_v">PARAMETROS!$C$12</definedName>
    <definedName name="gasto_alpha">PARAMETROS!$C$16</definedName>
    <definedName name="gasto_beta">PARAMETROS!$C$17</definedName>
    <definedName name="gasto_gamma">PARAMETROS!$C$18</definedName>
    <definedName name="NSP_Dotal">CALCULO!$C$73</definedName>
    <definedName name="NSP_DotalMixto">CALCULO!$C$74</definedName>
    <definedName name="NSP_Temporal">CALCULO!$C$72</definedName>
    <definedName name="NSP_VidaEntera">CALCULO!$C$75</definedName>
    <definedName name="plazo_seguro">PARAMETROS!$C$6</definedName>
    <definedName name="PRIMA_BRUTA">CALCULO!$C$80</definedName>
    <definedName name="PRIMA_NETA">CALCULO!$C$79</definedName>
    <definedName name="suma_asegurada">PARAMETROS!$C$7</definedName>
    <definedName name="tasa_d">PARAMETROS!$C$13</definedName>
    <definedName name="tasa_tecnica">PARAMETROS!$C$11</definedName>
    <definedName name="tipo_producto">PARAMETROS!$C$8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5" i="4" l="1"/>
  <c r="C17" i="5"/>
  <c r="C9" i="5"/>
  <c r="C8" i="5"/>
  <c r="C7" i="5"/>
  <c r="C6" i="5"/>
  <c r="C5" i="5"/>
  <c r="H69" i="4"/>
  <c r="G69" i="4"/>
  <c r="C69" i="4"/>
  <c r="D69" i="4" s="1"/>
  <c r="F69" i="4" s="1"/>
  <c r="H68" i="4"/>
  <c r="G68" i="4"/>
  <c r="C68" i="4"/>
  <c r="D68" i="4" s="1"/>
  <c r="F68" i="4" s="1"/>
  <c r="H67" i="4"/>
  <c r="G67" i="4"/>
  <c r="C67" i="4"/>
  <c r="D67" i="4" s="1"/>
  <c r="F67" i="4" s="1"/>
  <c r="H66" i="4"/>
  <c r="G66" i="4"/>
  <c r="C66" i="4"/>
  <c r="D66" i="4" s="1"/>
  <c r="F66" i="4" s="1"/>
  <c r="H65" i="4"/>
  <c r="G65" i="4"/>
  <c r="C65" i="4"/>
  <c r="D65" i="4" s="1"/>
  <c r="F65" i="4" s="1"/>
  <c r="H64" i="4"/>
  <c r="G64" i="4"/>
  <c r="C64" i="4"/>
  <c r="D64" i="4" s="1"/>
  <c r="F64" i="4" s="1"/>
  <c r="H63" i="4"/>
  <c r="G63" i="4"/>
  <c r="C63" i="4"/>
  <c r="D63" i="4" s="1"/>
  <c r="F63" i="4" s="1"/>
  <c r="H62" i="4"/>
  <c r="G62" i="4"/>
  <c r="C62" i="4"/>
  <c r="D62" i="4" s="1"/>
  <c r="F62" i="4" s="1"/>
  <c r="H61" i="4"/>
  <c r="G61" i="4"/>
  <c r="C61" i="4"/>
  <c r="D61" i="4" s="1"/>
  <c r="F61" i="4" s="1"/>
  <c r="H60" i="4"/>
  <c r="G60" i="4"/>
  <c r="C60" i="4"/>
  <c r="D60" i="4" s="1"/>
  <c r="F60" i="4" s="1"/>
  <c r="H59" i="4"/>
  <c r="G59" i="4"/>
  <c r="C59" i="4"/>
  <c r="D59" i="4" s="1"/>
  <c r="F59" i="4" s="1"/>
  <c r="H58" i="4"/>
  <c r="G58" i="4"/>
  <c r="C58" i="4"/>
  <c r="D58" i="4" s="1"/>
  <c r="F58" i="4" s="1"/>
  <c r="H57" i="4"/>
  <c r="G57" i="4"/>
  <c r="C57" i="4"/>
  <c r="D57" i="4" s="1"/>
  <c r="F57" i="4" s="1"/>
  <c r="H56" i="4"/>
  <c r="G56" i="4"/>
  <c r="C56" i="4"/>
  <c r="D56" i="4" s="1"/>
  <c r="F56" i="4" s="1"/>
  <c r="H55" i="4"/>
  <c r="G55" i="4"/>
  <c r="C55" i="4"/>
  <c r="D55" i="4" s="1"/>
  <c r="F55" i="4" s="1"/>
  <c r="H54" i="4"/>
  <c r="G54" i="4"/>
  <c r="C54" i="4"/>
  <c r="D54" i="4" s="1"/>
  <c r="F54" i="4" s="1"/>
  <c r="H53" i="4"/>
  <c r="G53" i="4"/>
  <c r="C53" i="4"/>
  <c r="D53" i="4" s="1"/>
  <c r="F53" i="4" s="1"/>
  <c r="H52" i="4"/>
  <c r="G52" i="4"/>
  <c r="C52" i="4"/>
  <c r="D52" i="4" s="1"/>
  <c r="F52" i="4" s="1"/>
  <c r="H51" i="4"/>
  <c r="G51" i="4"/>
  <c r="C51" i="4"/>
  <c r="D51" i="4" s="1"/>
  <c r="F51" i="4" s="1"/>
  <c r="H50" i="4"/>
  <c r="G50" i="4"/>
  <c r="C50" i="4"/>
  <c r="D50" i="4" s="1"/>
  <c r="F50" i="4" s="1"/>
  <c r="H49" i="4"/>
  <c r="G49" i="4"/>
  <c r="C49" i="4"/>
  <c r="D49" i="4" s="1"/>
  <c r="F49" i="4" s="1"/>
  <c r="H48" i="4"/>
  <c r="G48" i="4"/>
  <c r="C48" i="4"/>
  <c r="D48" i="4" s="1"/>
  <c r="F48" i="4" s="1"/>
  <c r="H47" i="4"/>
  <c r="G47" i="4"/>
  <c r="C47" i="4"/>
  <c r="D47" i="4" s="1"/>
  <c r="F47" i="4" s="1"/>
  <c r="H46" i="4"/>
  <c r="G46" i="4"/>
  <c r="C46" i="4"/>
  <c r="D46" i="4" s="1"/>
  <c r="F46" i="4" s="1"/>
  <c r="H45" i="4"/>
  <c r="G45" i="4"/>
  <c r="C45" i="4"/>
  <c r="D45" i="4" s="1"/>
  <c r="F45" i="4" s="1"/>
  <c r="H44" i="4"/>
  <c r="G44" i="4"/>
  <c r="C44" i="4"/>
  <c r="D44" i="4" s="1"/>
  <c r="F44" i="4" s="1"/>
  <c r="H43" i="4"/>
  <c r="G43" i="4"/>
  <c r="C43" i="4"/>
  <c r="D43" i="4" s="1"/>
  <c r="F43" i="4" s="1"/>
  <c r="H42" i="4"/>
  <c r="G42" i="4"/>
  <c r="C42" i="4"/>
  <c r="D42" i="4" s="1"/>
  <c r="F42" i="4" s="1"/>
  <c r="H41" i="4"/>
  <c r="G41" i="4"/>
  <c r="C41" i="4"/>
  <c r="D41" i="4" s="1"/>
  <c r="F41" i="4" s="1"/>
  <c r="H40" i="4"/>
  <c r="G40" i="4"/>
  <c r="C40" i="4"/>
  <c r="D40" i="4" s="1"/>
  <c r="F40" i="4" s="1"/>
  <c r="C39" i="4"/>
  <c r="D39" i="4" s="1"/>
  <c r="F39" i="4" s="1"/>
  <c r="C38" i="4"/>
  <c r="D38" i="4" s="1"/>
  <c r="F38" i="4" s="1"/>
  <c r="C37" i="4"/>
  <c r="D37" i="4" s="1"/>
  <c r="F37" i="4" s="1"/>
  <c r="C36" i="4"/>
  <c r="D36" i="4" s="1"/>
  <c r="F36" i="4" s="1"/>
  <c r="C35" i="4"/>
  <c r="D35" i="4" s="1"/>
  <c r="F35" i="4" s="1"/>
  <c r="C34" i="4"/>
  <c r="D34" i="4" s="1"/>
  <c r="F34" i="4" s="1"/>
  <c r="C33" i="4"/>
  <c r="D33" i="4" s="1"/>
  <c r="F33" i="4" s="1"/>
  <c r="C32" i="4"/>
  <c r="D32" i="4" s="1"/>
  <c r="F32" i="4" s="1"/>
  <c r="C31" i="4"/>
  <c r="D31" i="4" s="1"/>
  <c r="F31" i="4" s="1"/>
  <c r="C30" i="4"/>
  <c r="D30" i="4" s="1"/>
  <c r="F30" i="4" s="1"/>
  <c r="C29" i="4"/>
  <c r="D29" i="4" s="1"/>
  <c r="F29" i="4" s="1"/>
  <c r="C28" i="4"/>
  <c r="D28" i="4" s="1"/>
  <c r="F28" i="4" s="1"/>
  <c r="C27" i="4"/>
  <c r="D27" i="4" s="1"/>
  <c r="F27" i="4" s="1"/>
  <c r="C26" i="4"/>
  <c r="D26" i="4" s="1"/>
  <c r="F26" i="4" s="1"/>
  <c r="C25" i="4"/>
  <c r="D25" i="4" s="1"/>
  <c r="F25" i="4" s="1"/>
  <c r="C24" i="4"/>
  <c r="D24" i="4" s="1"/>
  <c r="F24" i="4" s="1"/>
  <c r="C23" i="4"/>
  <c r="D23" i="4" s="1"/>
  <c r="F23" i="4" s="1"/>
  <c r="C22" i="4"/>
  <c r="D22" i="4" s="1"/>
  <c r="F22" i="4" s="1"/>
  <c r="C21" i="4"/>
  <c r="D21" i="4" s="1"/>
  <c r="F21" i="4" s="1"/>
  <c r="C20" i="4"/>
  <c r="D20" i="4" s="1"/>
  <c r="F20" i="4" s="1"/>
  <c r="C14" i="4"/>
  <c r="C13" i="4"/>
  <c r="C12" i="4"/>
  <c r="C9" i="4"/>
  <c r="C8" i="4"/>
  <c r="C7" i="4"/>
  <c r="C6" i="4"/>
  <c r="C19" i="3"/>
  <c r="C13" i="3"/>
  <c r="C11" i="4" s="1"/>
  <c r="C12" i="3"/>
  <c r="C10" i="4" s="1"/>
  <c r="I103" i="2"/>
  <c r="H103" i="2"/>
  <c r="G103" i="2"/>
  <c r="I102" i="2"/>
  <c r="H102" i="2"/>
  <c r="G102" i="2"/>
  <c r="I101" i="2"/>
  <c r="H101" i="2"/>
  <c r="G101" i="2"/>
  <c r="I100" i="2"/>
  <c r="H100" i="2"/>
  <c r="G100" i="2"/>
  <c r="I99" i="2"/>
  <c r="H99" i="2"/>
  <c r="G99" i="2"/>
  <c r="J98" i="2"/>
  <c r="I98" i="2"/>
  <c r="H98" i="2"/>
  <c r="G98" i="2"/>
  <c r="J97" i="2"/>
  <c r="I97" i="2"/>
  <c r="H97" i="2"/>
  <c r="G97" i="2"/>
  <c r="J96" i="2"/>
  <c r="I96" i="2"/>
  <c r="H96" i="2"/>
  <c r="G96" i="2"/>
  <c r="J95" i="2"/>
  <c r="I95" i="2"/>
  <c r="H95" i="2"/>
  <c r="G95" i="2"/>
  <c r="J94" i="2"/>
  <c r="I94" i="2"/>
  <c r="H94" i="2"/>
  <c r="G94" i="2"/>
  <c r="K93" i="2"/>
  <c r="J93" i="2"/>
  <c r="I93" i="2"/>
  <c r="H93" i="2"/>
  <c r="G93" i="2"/>
  <c r="K92" i="2"/>
  <c r="J92" i="2"/>
  <c r="I92" i="2"/>
  <c r="H92" i="2"/>
  <c r="G92" i="2"/>
  <c r="K91" i="2"/>
  <c r="J91" i="2"/>
  <c r="I91" i="2"/>
  <c r="H91" i="2"/>
  <c r="G91" i="2"/>
  <c r="K90" i="2"/>
  <c r="J90" i="2"/>
  <c r="I90" i="2"/>
  <c r="H90" i="2"/>
  <c r="G90" i="2"/>
  <c r="K89" i="2"/>
  <c r="J89" i="2"/>
  <c r="I89" i="2"/>
  <c r="H89" i="2"/>
  <c r="G89" i="2"/>
  <c r="K88" i="2"/>
  <c r="J88" i="2"/>
  <c r="I88" i="2"/>
  <c r="H88" i="2"/>
  <c r="G88" i="2"/>
  <c r="K87" i="2"/>
  <c r="J87" i="2"/>
  <c r="I87" i="2"/>
  <c r="H87" i="2"/>
  <c r="G87" i="2"/>
  <c r="K86" i="2"/>
  <c r="J86" i="2"/>
  <c r="I86" i="2"/>
  <c r="H86" i="2"/>
  <c r="G86" i="2"/>
  <c r="K85" i="2"/>
  <c r="J85" i="2"/>
  <c r="I85" i="2"/>
  <c r="H85" i="2"/>
  <c r="G85" i="2"/>
  <c r="K84" i="2"/>
  <c r="J84" i="2"/>
  <c r="I84" i="2"/>
  <c r="H84" i="2"/>
  <c r="G84" i="2"/>
  <c r="K83" i="2"/>
  <c r="J83" i="2"/>
  <c r="I83" i="2"/>
  <c r="H83" i="2"/>
  <c r="G83" i="2"/>
  <c r="K82" i="2"/>
  <c r="J82" i="2"/>
  <c r="I82" i="2"/>
  <c r="H82" i="2"/>
  <c r="G82" i="2"/>
  <c r="K81" i="2"/>
  <c r="J81" i="2"/>
  <c r="I81" i="2"/>
  <c r="H81" i="2"/>
  <c r="G81" i="2"/>
  <c r="K80" i="2"/>
  <c r="J80" i="2"/>
  <c r="I80" i="2"/>
  <c r="H80" i="2"/>
  <c r="G80" i="2"/>
  <c r="K79" i="2"/>
  <c r="J79" i="2"/>
  <c r="I79" i="2"/>
  <c r="H79" i="2"/>
  <c r="G79" i="2"/>
  <c r="K78" i="2"/>
  <c r="J78" i="2"/>
  <c r="I78" i="2"/>
  <c r="H78" i="2"/>
  <c r="G78" i="2"/>
  <c r="K77" i="2"/>
  <c r="J77" i="2"/>
  <c r="I77" i="2"/>
  <c r="H77" i="2"/>
  <c r="G77" i="2"/>
  <c r="K76" i="2"/>
  <c r="J76" i="2"/>
  <c r="I76" i="2"/>
  <c r="H76" i="2"/>
  <c r="G76" i="2"/>
  <c r="K75" i="2"/>
  <c r="J75" i="2"/>
  <c r="I75" i="2"/>
  <c r="H75" i="2"/>
  <c r="G75" i="2"/>
  <c r="K74" i="2"/>
  <c r="J74" i="2"/>
  <c r="I74" i="2"/>
  <c r="H74" i="2"/>
  <c r="G74" i="2"/>
  <c r="K73" i="2"/>
  <c r="J73" i="2"/>
  <c r="I73" i="2"/>
  <c r="H73" i="2"/>
  <c r="G73" i="2"/>
  <c r="K72" i="2"/>
  <c r="J72" i="2"/>
  <c r="I72" i="2"/>
  <c r="H72" i="2"/>
  <c r="G72" i="2"/>
  <c r="K71" i="2"/>
  <c r="J71" i="2"/>
  <c r="I71" i="2"/>
  <c r="H71" i="2"/>
  <c r="G71" i="2"/>
  <c r="K70" i="2"/>
  <c r="J70" i="2"/>
  <c r="I70" i="2"/>
  <c r="H70" i="2"/>
  <c r="G70" i="2"/>
  <c r="K69" i="2"/>
  <c r="J69" i="2"/>
  <c r="I69" i="2"/>
  <c r="H69" i="2"/>
  <c r="G69" i="2"/>
  <c r="K68" i="2"/>
  <c r="J68" i="2"/>
  <c r="I68" i="2"/>
  <c r="H68" i="2"/>
  <c r="G68" i="2"/>
  <c r="K67" i="2"/>
  <c r="J67" i="2"/>
  <c r="I67" i="2"/>
  <c r="H67" i="2"/>
  <c r="G67" i="2"/>
  <c r="K66" i="2"/>
  <c r="J66" i="2"/>
  <c r="I66" i="2"/>
  <c r="H66" i="2"/>
  <c r="G66" i="2"/>
  <c r="K65" i="2"/>
  <c r="J65" i="2"/>
  <c r="I65" i="2"/>
  <c r="H65" i="2"/>
  <c r="G65" i="2"/>
  <c r="K64" i="2"/>
  <c r="J64" i="2"/>
  <c r="I64" i="2"/>
  <c r="H64" i="2"/>
  <c r="G64" i="2"/>
  <c r="K63" i="2"/>
  <c r="J63" i="2"/>
  <c r="I63" i="2"/>
  <c r="H63" i="2"/>
  <c r="G63" i="2"/>
  <c r="K62" i="2"/>
  <c r="J62" i="2"/>
  <c r="I62" i="2"/>
  <c r="H62" i="2"/>
  <c r="G62" i="2"/>
  <c r="K61" i="2"/>
  <c r="J61" i="2"/>
  <c r="I61" i="2"/>
  <c r="H61" i="2"/>
  <c r="G61" i="2"/>
  <c r="K60" i="2"/>
  <c r="J60" i="2"/>
  <c r="I60" i="2"/>
  <c r="H60" i="2"/>
  <c r="G60" i="2"/>
  <c r="K59" i="2"/>
  <c r="J59" i="2"/>
  <c r="I59" i="2"/>
  <c r="H59" i="2"/>
  <c r="G59" i="2"/>
  <c r="K58" i="2"/>
  <c r="J58" i="2"/>
  <c r="I58" i="2"/>
  <c r="H58" i="2"/>
  <c r="G58" i="2"/>
  <c r="K57" i="2"/>
  <c r="J57" i="2"/>
  <c r="I57" i="2"/>
  <c r="H57" i="2"/>
  <c r="G57" i="2"/>
  <c r="K56" i="2"/>
  <c r="J56" i="2"/>
  <c r="I56" i="2"/>
  <c r="H56" i="2"/>
  <c r="G56" i="2"/>
  <c r="K55" i="2"/>
  <c r="J55" i="2"/>
  <c r="I55" i="2"/>
  <c r="H55" i="2"/>
  <c r="G55" i="2"/>
  <c r="K54" i="2"/>
  <c r="J54" i="2"/>
  <c r="I54" i="2"/>
  <c r="H54" i="2"/>
  <c r="G54" i="2"/>
  <c r="K53" i="2"/>
  <c r="J53" i="2"/>
  <c r="I53" i="2"/>
  <c r="H53" i="2"/>
  <c r="G53" i="2"/>
  <c r="K52" i="2"/>
  <c r="J52" i="2"/>
  <c r="I52" i="2"/>
  <c r="H52" i="2"/>
  <c r="G52" i="2"/>
  <c r="K51" i="2"/>
  <c r="J51" i="2"/>
  <c r="I51" i="2"/>
  <c r="H51" i="2"/>
  <c r="G51" i="2"/>
  <c r="K50" i="2"/>
  <c r="J50" i="2"/>
  <c r="I50" i="2"/>
  <c r="H50" i="2"/>
  <c r="G50" i="2"/>
  <c r="K49" i="2"/>
  <c r="J49" i="2"/>
  <c r="I49" i="2"/>
  <c r="H49" i="2"/>
  <c r="G49" i="2"/>
  <c r="K48" i="2"/>
  <c r="J48" i="2"/>
  <c r="I48" i="2"/>
  <c r="H48" i="2"/>
  <c r="G48" i="2"/>
  <c r="K47" i="2"/>
  <c r="J47" i="2"/>
  <c r="I47" i="2"/>
  <c r="H47" i="2"/>
  <c r="G47" i="2"/>
  <c r="K46" i="2"/>
  <c r="J46" i="2"/>
  <c r="I46" i="2"/>
  <c r="H46" i="2"/>
  <c r="G46" i="2"/>
  <c r="K45" i="2"/>
  <c r="J45" i="2"/>
  <c r="I45" i="2"/>
  <c r="H45" i="2"/>
  <c r="G45" i="2"/>
  <c r="K44" i="2"/>
  <c r="J44" i="2"/>
  <c r="I44" i="2"/>
  <c r="H44" i="2"/>
  <c r="G44" i="2"/>
  <c r="K43" i="2"/>
  <c r="J43" i="2"/>
  <c r="I43" i="2"/>
  <c r="H43" i="2"/>
  <c r="G43" i="2"/>
  <c r="K42" i="2"/>
  <c r="J42" i="2"/>
  <c r="I42" i="2"/>
  <c r="H42" i="2"/>
  <c r="G42" i="2"/>
  <c r="K41" i="2"/>
  <c r="J41" i="2"/>
  <c r="I41" i="2"/>
  <c r="H41" i="2"/>
  <c r="G41" i="2"/>
  <c r="K40" i="2"/>
  <c r="J40" i="2"/>
  <c r="I40" i="2"/>
  <c r="H40" i="2"/>
  <c r="G40" i="2"/>
  <c r="K39" i="2"/>
  <c r="J39" i="2"/>
  <c r="I39" i="2"/>
  <c r="H39" i="2"/>
  <c r="G39" i="2"/>
  <c r="K38" i="2"/>
  <c r="J38" i="2"/>
  <c r="I38" i="2"/>
  <c r="H38" i="2"/>
  <c r="G38" i="2"/>
  <c r="K37" i="2"/>
  <c r="J37" i="2"/>
  <c r="I37" i="2"/>
  <c r="H37" i="2"/>
  <c r="G37" i="2"/>
  <c r="K36" i="2"/>
  <c r="J36" i="2"/>
  <c r="I36" i="2"/>
  <c r="H36" i="2"/>
  <c r="G36" i="2"/>
  <c r="K35" i="2"/>
  <c r="J35" i="2"/>
  <c r="I35" i="2"/>
  <c r="H35" i="2"/>
  <c r="G35" i="2"/>
  <c r="K34" i="2"/>
  <c r="J34" i="2"/>
  <c r="I34" i="2"/>
  <c r="H34" i="2"/>
  <c r="G34" i="2"/>
  <c r="K33" i="2"/>
  <c r="J33" i="2"/>
  <c r="I33" i="2"/>
  <c r="H33" i="2"/>
  <c r="G33" i="2"/>
  <c r="K32" i="2"/>
  <c r="J32" i="2"/>
  <c r="I32" i="2"/>
  <c r="H32" i="2"/>
  <c r="G32" i="2"/>
  <c r="K31" i="2"/>
  <c r="J31" i="2"/>
  <c r="I31" i="2"/>
  <c r="H31" i="2"/>
  <c r="G31" i="2"/>
  <c r="K30" i="2"/>
  <c r="J30" i="2"/>
  <c r="I30" i="2"/>
  <c r="H30" i="2"/>
  <c r="G30" i="2"/>
  <c r="K29" i="2"/>
  <c r="J29" i="2"/>
  <c r="I29" i="2"/>
  <c r="H29" i="2"/>
  <c r="G29" i="2"/>
  <c r="K28" i="2"/>
  <c r="J28" i="2"/>
  <c r="I28" i="2"/>
  <c r="H28" i="2"/>
  <c r="G28" i="2"/>
  <c r="K27" i="2"/>
  <c r="J27" i="2"/>
  <c r="I27" i="2"/>
  <c r="H27" i="2"/>
  <c r="G27" i="2"/>
  <c r="K26" i="2"/>
  <c r="J26" i="2"/>
  <c r="I26" i="2"/>
  <c r="H26" i="2"/>
  <c r="G26" i="2"/>
  <c r="K25" i="2"/>
  <c r="J25" i="2"/>
  <c r="I25" i="2"/>
  <c r="H25" i="2"/>
  <c r="G25" i="2"/>
  <c r="K24" i="2"/>
  <c r="J24" i="2"/>
  <c r="I24" i="2"/>
  <c r="H24" i="2"/>
  <c r="G24" i="2"/>
  <c r="K23" i="2"/>
  <c r="J23" i="2"/>
  <c r="I23" i="2"/>
  <c r="H23" i="2"/>
  <c r="G23" i="2"/>
  <c r="K22" i="2"/>
  <c r="J22" i="2"/>
  <c r="I22" i="2"/>
  <c r="H22" i="2"/>
  <c r="G22" i="2"/>
  <c r="K21" i="2"/>
  <c r="J21" i="2"/>
  <c r="I21" i="2"/>
  <c r="H21" i="2"/>
  <c r="G21" i="2"/>
  <c r="K20" i="2"/>
  <c r="J20" i="2"/>
  <c r="I20" i="2"/>
  <c r="H20" i="2"/>
  <c r="G20" i="2"/>
  <c r="K19" i="2"/>
  <c r="J19" i="2"/>
  <c r="I19" i="2"/>
  <c r="H19" i="2"/>
  <c r="G19" i="2"/>
  <c r="K18" i="2"/>
  <c r="J18" i="2"/>
  <c r="I18" i="2"/>
  <c r="H18" i="2"/>
  <c r="G18" i="2"/>
  <c r="K17" i="2"/>
  <c r="J17" i="2"/>
  <c r="I17" i="2"/>
  <c r="H17" i="2"/>
  <c r="G17" i="2"/>
  <c r="K16" i="2"/>
  <c r="J16" i="2"/>
  <c r="I16" i="2"/>
  <c r="H16" i="2"/>
  <c r="G16" i="2"/>
  <c r="K15" i="2"/>
  <c r="J15" i="2"/>
  <c r="I15" i="2"/>
  <c r="H15" i="2"/>
  <c r="G15" i="2"/>
  <c r="K14" i="2"/>
  <c r="J14" i="2"/>
  <c r="I14" i="2"/>
  <c r="H14" i="2"/>
  <c r="G14" i="2"/>
  <c r="K13" i="2"/>
  <c r="J13" i="2"/>
  <c r="I13" i="2"/>
  <c r="H13" i="2"/>
  <c r="G13" i="2"/>
  <c r="K12" i="2"/>
  <c r="J12" i="2"/>
  <c r="I12" i="2"/>
  <c r="H12" i="2"/>
  <c r="G12" i="2"/>
  <c r="K11" i="2"/>
  <c r="J11" i="2"/>
  <c r="I11" i="2"/>
  <c r="H11" i="2"/>
  <c r="G11" i="2"/>
  <c r="K10" i="2"/>
  <c r="J10" i="2"/>
  <c r="I10" i="2"/>
  <c r="H10" i="2"/>
  <c r="G10" i="2"/>
  <c r="K9" i="2"/>
  <c r="J9" i="2"/>
  <c r="I9" i="2"/>
  <c r="H9" i="2"/>
  <c r="G9" i="2"/>
  <c r="K8" i="2"/>
  <c r="J8" i="2"/>
  <c r="I8" i="2"/>
  <c r="H8" i="2"/>
  <c r="G8" i="2"/>
  <c r="K7" i="2"/>
  <c r="J7" i="2"/>
  <c r="I7" i="2"/>
  <c r="H7" i="2"/>
  <c r="G7" i="2"/>
  <c r="K6" i="2"/>
  <c r="J6" i="2"/>
  <c r="I6" i="2"/>
  <c r="H6" i="2"/>
  <c r="G6" i="2"/>
  <c r="K5" i="2"/>
  <c r="J5" i="2"/>
  <c r="I5" i="2"/>
  <c r="H5" i="2"/>
  <c r="G5" i="2"/>
  <c r="K4" i="2"/>
  <c r="J4" i="2"/>
  <c r="I4" i="2"/>
  <c r="H4" i="2"/>
  <c r="G4" i="2"/>
  <c r="E57" i="4" l="1"/>
  <c r="E61" i="4"/>
  <c r="E51" i="4"/>
  <c r="E33" i="4"/>
  <c r="G33" i="4" s="1"/>
  <c r="E53" i="4"/>
  <c r="E25" i="4"/>
  <c r="G25" i="4" s="1"/>
  <c r="E49" i="4"/>
  <c r="E55" i="4"/>
  <c r="E27" i="4"/>
  <c r="G27" i="4" s="1"/>
  <c r="E59" i="4"/>
  <c r="E63" i="4"/>
  <c r="E35" i="4"/>
  <c r="G35" i="4" s="1"/>
  <c r="C73" i="4"/>
  <c r="E45" i="4"/>
  <c r="E69" i="4"/>
  <c r="E21" i="4"/>
  <c r="G21" i="4" s="1"/>
  <c r="E29" i="4"/>
  <c r="G29" i="4" s="1"/>
  <c r="E37" i="4"/>
  <c r="G37" i="4" s="1"/>
  <c r="E23" i="4"/>
  <c r="G23" i="4" s="1"/>
  <c r="E31" i="4"/>
  <c r="G31" i="4" s="1"/>
  <c r="E39" i="4"/>
  <c r="G39" i="4" s="1"/>
  <c r="E43" i="4"/>
  <c r="E67" i="4"/>
  <c r="E47" i="4"/>
  <c r="C12" i="5"/>
  <c r="E41" i="4"/>
  <c r="E65" i="4"/>
  <c r="H28" i="4"/>
  <c r="H36" i="4"/>
  <c r="H30" i="4"/>
  <c r="H38" i="4"/>
  <c r="H22" i="4"/>
  <c r="H24" i="4"/>
  <c r="H32" i="4"/>
  <c r="H20" i="4"/>
  <c r="H26" i="4"/>
  <c r="H34" i="4"/>
  <c r="H21" i="4"/>
  <c r="H23" i="4"/>
  <c r="H25" i="4"/>
  <c r="H27" i="4"/>
  <c r="H29" i="4"/>
  <c r="H31" i="4"/>
  <c r="H33" i="4"/>
  <c r="H35" i="4"/>
  <c r="H37" i="4"/>
  <c r="H39" i="4"/>
  <c r="E20" i="4"/>
  <c r="G20" i="4" s="1"/>
  <c r="E22" i="4"/>
  <c r="G22" i="4" s="1"/>
  <c r="E24" i="4"/>
  <c r="G24" i="4" s="1"/>
  <c r="E26" i="4"/>
  <c r="G26" i="4" s="1"/>
  <c r="E28" i="4"/>
  <c r="G28" i="4" s="1"/>
  <c r="E30" i="4"/>
  <c r="G30" i="4" s="1"/>
  <c r="E32" i="4"/>
  <c r="G32" i="4" s="1"/>
  <c r="E34" i="4"/>
  <c r="G34" i="4" s="1"/>
  <c r="E36" i="4"/>
  <c r="G36" i="4" s="1"/>
  <c r="E38" i="4"/>
  <c r="G38" i="4" s="1"/>
  <c r="E40" i="4"/>
  <c r="E42" i="4"/>
  <c r="E44" i="4"/>
  <c r="E46" i="4"/>
  <c r="E48" i="4"/>
  <c r="E50" i="4"/>
  <c r="E52" i="4"/>
  <c r="E54" i="4"/>
  <c r="E56" i="4"/>
  <c r="E58" i="4"/>
  <c r="E60" i="4"/>
  <c r="E62" i="4"/>
  <c r="E64" i="4"/>
  <c r="E66" i="4"/>
  <c r="E68" i="4"/>
  <c r="C75" i="4" l="1"/>
  <c r="C14" i="5" s="1"/>
  <c r="C72" i="4"/>
  <c r="C76" i="4"/>
  <c r="C15" i="5" s="1"/>
  <c r="C80" i="4" l="1"/>
  <c r="C79" i="4"/>
  <c r="C13" i="5"/>
  <c r="C74" i="4"/>
  <c r="C77" i="4" s="1"/>
  <c r="C16" i="5" s="1"/>
  <c r="C83" i="4"/>
  <c r="C82" i="4" l="1"/>
  <c r="C81" i="4"/>
</calcChain>
</file>

<file path=xl/sharedStrings.xml><?xml version="1.0" encoding="utf-8"?>
<sst xmlns="http://schemas.openxmlformats.org/spreadsheetml/2006/main" count="132" uniqueCount="126">
  <si>
    <t>PORTAFOLIO ACTUARIAL</t>
  </si>
  <si>
    <t>Proyecto 01  ·  Excel + VBA</t>
  </si>
  <si>
    <t>Calculadora de Primas de Seguros de Vida</t>
  </si>
  <si>
    <t>con Tabla de Mortalidad Dinámica</t>
  </si>
  <si>
    <t>CNSF Experiencia 2000–2004  ·  Matemáticas Actuariales  ·  Pricing de Vida</t>
  </si>
  <si>
    <t>Área</t>
  </si>
  <si>
    <t>Matemáticas Actuariales / Pricing de Vida</t>
  </si>
  <si>
    <t>Herramientas</t>
  </si>
  <si>
    <t>Microsoft Excel  |  Visual Basic for Applications</t>
  </si>
  <si>
    <t>Tabla base</t>
  </si>
  <si>
    <t>CNSF Experiencia 2000–2004  (ω = 99)</t>
  </si>
  <si>
    <t>Productos</t>
  </si>
  <si>
    <t>Temporal · Dotal Puro · Dotal Mixto · Vida Entera</t>
  </si>
  <si>
    <t>Hojas</t>
  </si>
  <si>
    <t>PORTADA · TABLA_MORT · PARAMETROS · CALCULO · REPORTE</t>
  </si>
  <si>
    <t>INSTRUCCIONES DE USO</t>
  </si>
  <si>
    <t>1. Habilitar macros al abrir el archivo (Habilitar contenido en la barra amarilla de Excel).</t>
  </si>
  <si>
    <t>2. Ir a la hoja PARAMETROS e ingresar los datos del asegurado.</t>
  </si>
  <si>
    <t>3. La hoja CALCULO se actualiza automáticamente con los resultados.</t>
  </si>
  <si>
    <t>4. Para acceder al UserForm interactivo: ejecutar la macro 'AbrirCalculadora' (Alt+F8).</t>
  </si>
  <si>
    <t>5. Para generar el reporte en PDF: ejecutar la macro 'GenerarReporte' (Alt+F8).</t>
  </si>
  <si>
    <t>6. El código VBA completo se encuentra en la hoja CODIGO_VBA para revisión.</t>
  </si>
  <si>
    <t>CONVENCIÓN DE COLORES (ESTÁNDAR FINANCIERO)</t>
  </si>
  <si>
    <t xml:space="preserve">  Texto azul</t>
  </si>
  <si>
    <t>Entradas hardcoded – valores que el usuario modifica</t>
  </si>
  <si>
    <t xml:space="preserve">  Texto negro</t>
  </si>
  <si>
    <t>Fórmulas y cálculos – NO modificar directamente</t>
  </si>
  <si>
    <t xml:space="preserve">  Texto verde</t>
  </si>
  <si>
    <t>Fórmulas que traen datos de otra hoja del mismo libro</t>
  </si>
  <si>
    <t xml:space="preserve">  Fondo amarillo</t>
  </si>
  <si>
    <t>Supuesto clave que requiere revisión o actualización</t>
  </si>
  <si>
    <t>TABLA DE MORTALIDAD  —  CNSF Experiencia 2000-2004 (Hombres)</t>
  </si>
  <si>
    <t>Fuente: CNSF (2006) · DOF · Raíz: l₀ = 100,000 · ω = 99</t>
  </si>
  <si>
    <t>x</t>
  </si>
  <si>
    <t>lₓ</t>
  </si>
  <si>
    <t>dₓ</t>
  </si>
  <si>
    <t>qₓ</t>
  </si>
  <si>
    <t>pₓ</t>
  </si>
  <si>
    <t>1000·qₓ</t>
  </si>
  <si>
    <t>ln(qₓ)</t>
  </si>
  <si>
    <t>log₁₀(qₓ)</t>
  </si>
  <si>
    <t>ₜpₓ (t=5)</t>
  </si>
  <si>
    <t>ₜpₓ (t=10)</t>
  </si>
  <si>
    <t>Nota: Valores construidos con interpolación logarítmica sobre puntos de anclaje CNSF 2000-2004. Sustituir qₓ por los valores oficiales publicados en el DOF para uso regulatorio.</t>
  </si>
  <si>
    <t>PARÁMETROS DE ENTRADA</t>
  </si>
  <si>
    <t>Texto azul = entrada manual  ·  Texto negro = calculado</t>
  </si>
  <si>
    <t>1. DATOS DEL ASEGURADO</t>
  </si>
  <si>
    <t>Edad de emisión (años)</t>
  </si>
  <si>
    <t>← Entero entre 15 y 85</t>
  </si>
  <si>
    <t>Plazo del seguro (años)</t>
  </si>
  <si>
    <t>← Entero positivo</t>
  </si>
  <si>
    <t>Suma asegurada ($)</t>
  </si>
  <si>
    <t>← Monto del beneficio de muerte</t>
  </si>
  <si>
    <t>Tipo de producto</t>
  </si>
  <si>
    <t>← Temporal / Dotal Puro / Dotal Mixto / Vida Entera</t>
  </si>
  <si>
    <t>2. PARÁMETROS FINANCIEROS</t>
  </si>
  <si>
    <t>Tasa técnica anual (i)</t>
  </si>
  <si>
    <t>← Regulatoria CNSF: máx. 3.5% (UDIS) / 4.5% ($)</t>
  </si>
  <si>
    <t>Factor de descuento (v)</t>
  </si>
  <si>
    <t>← = 1/(1+i)  — calculado</t>
  </si>
  <si>
    <t>Tasa de descuento (d)</t>
  </si>
  <si>
    <t>← = i/(1+i)  — calculado</t>
  </si>
  <si>
    <t>3. RECARGOS POR GASTOS (PRIMA BRUTA)</t>
  </si>
  <si>
    <t>α — Gasto de adquisición (% SA)</t>
  </si>
  <si>
    <t>← Primer año: comisión agente + expedición</t>
  </si>
  <si>
    <t>β — Gasto de administración (% G)</t>
  </si>
  <si>
    <t>← Cada año: administración de póliza</t>
  </si>
  <si>
    <t>γ — Gasto de cobranza (% G)</t>
  </si>
  <si>
    <t>← Cada año: cobranza de prima</t>
  </si>
  <si>
    <t>Condición β+γ &lt; 1</t>
  </si>
  <si>
    <t>← Verificación automática</t>
  </si>
  <si>
    <t>MOTOR DE CÁLCULO ACTUARIAL</t>
  </si>
  <si>
    <t>Los valores en verde referencian PARAMETROS y TABLA_MORT · No modificar fórmulas en esta hoja</t>
  </si>
  <si>
    <t>A. PARÁMETROS ACTIVOS</t>
  </si>
  <si>
    <t>Edad de emisión (x)</t>
  </si>
  <si>
    <t>Plazo del seguro (n)</t>
  </si>
  <si>
    <t>Suma asegurada (SA)</t>
  </si>
  <si>
    <t>Tasa técnica (i)</t>
  </si>
  <si>
    <t>α gastos adquisición</t>
  </si>
  <si>
    <t>β gastos administración</t>
  </si>
  <si>
    <t>γ gastos cobranza</t>
  </si>
  <si>
    <t>B. TABLA DE CÁLCULO  k = 0, 1, ..., n-1</t>
  </si>
  <si>
    <t>k</t>
  </si>
  <si>
    <t>x+k</t>
  </si>
  <si>
    <t>lx+k</t>
  </si>
  <si>
    <t>qx+k</t>
  </si>
  <si>
    <t>kpx</t>
  </si>
  <si>
    <t>v^(k+1) kpx qx+k</t>
  </si>
  <si>
    <t>v^k kpx  (anualidad)</t>
  </si>
  <si>
    <t>C. RESULTADOS ACTUARIALES</t>
  </si>
  <si>
    <t>NSP — Seguro Temporal  A¹ₓ:n̄</t>
  </si>
  <si>
    <t>VP esperado del beneficio si muere en n años</t>
  </si>
  <si>
    <t>NSP — Dotal Puro  ₙEₓ</t>
  </si>
  <si>
    <t>VP esperado del beneficio si sobrevive n años</t>
  </si>
  <si>
    <t>NSP — Dotal Mixto  Aₓ:n̄</t>
  </si>
  <si>
    <t>VP esperado total (temporal + dotal puro)</t>
  </si>
  <si>
    <t>NSP — Vida Entera  Aₓ</t>
  </si>
  <si>
    <t>VP esperado del beneficio sin importar cuándo muera</t>
  </si>
  <si>
    <t>Anualidad  äₓ:n̄  (due)</t>
  </si>
  <si>
    <t>VP esperado de las primas que pagará el asegurado</t>
  </si>
  <si>
    <t>Verificación  (1−Aₓ:n̄) / d</t>
  </si>
  <si>
    <t>Debe coincidir con äₓ:n̄  (identidad de control)</t>
  </si>
  <si>
    <t>PRIMA NETA ANUAL  P</t>
  </si>
  <si>
    <t>Principio de equivalencia: P = SA·A / ä</t>
  </si>
  <si>
    <t>PRIMA BRUTA ANUAL  G</t>
  </si>
  <si>
    <t>Incluye gastos α, β, γ — lo que paga el asegurado</t>
  </si>
  <si>
    <t>Recargo absoluto  G − P</t>
  </si>
  <si>
    <t>Diferencia entre prima comercial y prima pura</t>
  </si>
  <si>
    <t>Ratio de gasto  (G−P)/G</t>
  </si>
  <si>
    <t>Porción de la prima bruta destinada a gastos</t>
  </si>
  <si>
    <t>NSP por $1,000 SA  (referencia)</t>
  </si>
  <si>
    <t>Estandarización para comparación de tarifas</t>
  </si>
  <si>
    <t>COTIZACIÓN DE SEGURO DE VIDA</t>
  </si>
  <si>
    <t>Portafolio Actuarial  ·  Modelo de Primas  ·  CNSF 2000-2004</t>
  </si>
  <si>
    <t>DATOS DEL ASEGURADO</t>
  </si>
  <si>
    <t>Edad de emisión</t>
  </si>
  <si>
    <t>Plazo del seguro</t>
  </si>
  <si>
    <t>Suma asegurada</t>
  </si>
  <si>
    <t>Tasa técnica</t>
  </si>
  <si>
    <t>RESULTADOS ACTUARIALES</t>
  </si>
  <si>
    <t>NSP — Valor Actual Actuarial</t>
  </si>
  <si>
    <t>PRIMA NETA ANUAL</t>
  </si>
  <si>
    <t>PRIMA BRUTA ANUAL</t>
  </si>
  <si>
    <t>Recargo por gastos  (G−P)</t>
  </si>
  <si>
    <t>Nota: Este modelo es de naturaleza actuarial y pedagógica. Las primas presentadas no constituyen una oferta formal de seguro y deben validarse con la tabla oficial CNSF vigente.</t>
  </si>
  <si>
    <t>Vida Entera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</si>
</sst>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"/>
    <numFmt numFmtId="165" formatCode="0.00000"/>
    <numFmt numFmtId="166" formatCode="0.000"/>
    <numFmt numFmtId="167" formatCode="0.0000"/>
    <numFmt numFmtId="168" formatCode="\$#,##0"/>
    <numFmt numFmtId="169" formatCode="0.000%"/>
    <numFmt numFmtId="170" formatCode="0.0%"/>
    <numFmt numFmtId="171" formatCode="0.0000000"/>
    <numFmt numFmtId="172" formatCode="0.000000"/>
    <numFmt numFmtId="173" formatCode="\$#,##0.00"/>
  </numFmts>
  <fonts count="23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sz val="16"/>
      <color rgb="FFFFFFFF"/>
      <name val="Arial"/>
      <charset val="1"/>
    </font>
    <font>
      <b/>
      <sz val="18"/>
      <color rgb="FFFFFFFF"/>
      <name val="Arial"/>
      <charset val="1"/>
    </font>
    <font>
      <sz val="13"/>
      <color rgb="FFFFFFFF"/>
      <name val="Arial"/>
      <charset val="1"/>
    </font>
    <font>
      <sz val="11"/>
      <color rgb="FFFFFFFF"/>
      <name val="Arial"/>
      <charset val="1"/>
    </font>
    <font>
      <b/>
      <sz val="11"/>
      <color rgb="FFFFFFFF"/>
      <name val="Arial"/>
      <charset val="1"/>
    </font>
    <font>
      <sz val="11"/>
      <color rgb="FF222222"/>
      <name val="Arial"/>
      <charset val="1"/>
    </font>
    <font>
      <b/>
      <sz val="13"/>
      <color rgb="FFFFFFFF"/>
      <name val="Arial"/>
      <charset val="1"/>
    </font>
    <font>
      <b/>
      <sz val="11"/>
      <color rgb="FF0000CC"/>
      <name val="Arial"/>
      <charset val="1"/>
    </font>
    <font>
      <sz val="11"/>
      <color rgb="FF333333"/>
      <name val="Arial"/>
      <charset val="1"/>
    </font>
    <font>
      <b/>
      <sz val="11"/>
      <color rgb="FF000000"/>
      <name val="Arial"/>
      <charset val="1"/>
    </font>
    <font>
      <b/>
      <sz val="11"/>
      <color rgb="FF008000"/>
      <name val="Arial"/>
      <charset val="1"/>
    </font>
    <font>
      <b/>
      <sz val="11"/>
      <color rgb="FFCC6600"/>
      <name val="Arial"/>
      <charset val="1"/>
    </font>
    <font>
      <b/>
      <sz val="14"/>
      <color rgb="FFFFFFFF"/>
      <name val="Arial"/>
      <charset val="1"/>
    </font>
    <font>
      <i/>
      <sz val="10"/>
      <color rgb="FFFFFFFF"/>
      <name val="Arial"/>
      <charset val="1"/>
    </font>
    <font>
      <sz val="11"/>
      <color rgb="FF000000"/>
      <name val="Arial"/>
      <charset val="1"/>
    </font>
    <font>
      <i/>
      <sz val="9"/>
      <color rgb="FF555555"/>
      <name val="Arial"/>
      <charset val="1"/>
    </font>
    <font>
      <sz val="11"/>
      <color rgb="FF008000"/>
      <name val="Arial"/>
      <charset val="1"/>
    </font>
    <font>
      <b/>
      <sz val="16"/>
      <color rgb="FFFFFFFF"/>
      <name val="Arial"/>
      <charset val="1"/>
    </font>
    <font>
      <b/>
      <sz val="11"/>
      <color rgb="FF333333"/>
      <name val="Arial"/>
      <charset val="1"/>
    </font>
    <font>
      <sz val="11"/>
      <color rgb="FF111111"/>
      <name val="Arial"/>
      <charset val="1"/>
    </font>
    <font>
      <b/>
      <sz val="11"/>
      <color rgb="FF111111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B3A6B"/>
        <bgColor rgb="FF333399"/>
      </patternFill>
    </fill>
    <fill>
      <patternFill patternType="solid">
        <fgColor rgb="FF2E6DB4"/>
        <bgColor rgb="FF0066CC"/>
      </patternFill>
    </fill>
    <fill>
      <patternFill patternType="solid">
        <fgColor rgb="FFF2F5FA"/>
        <bgColor rgb="FFEEF4FC"/>
      </patternFill>
    </fill>
    <fill>
      <patternFill patternType="solid">
        <fgColor rgb="FFEEF4FC"/>
        <bgColor rgb="FFF2F5FA"/>
      </patternFill>
    </fill>
    <fill>
      <patternFill patternType="solid">
        <fgColor rgb="FFFFFFFF"/>
        <bgColor rgb="FFF2F5FA"/>
      </patternFill>
    </fill>
    <fill>
      <patternFill patternType="solid">
        <fgColor rgb="FFFFFACD"/>
        <bgColor rgb="FFF2F5FA"/>
      </patternFill>
    </fill>
    <fill>
      <patternFill patternType="solid">
        <fgColor rgb="FFD6E4F7"/>
        <bgColor rgb="FFEEF4FC"/>
      </patternFill>
    </fill>
  </fills>
  <borders count="4">
    <border>
      <left/>
      <right/>
      <top/>
      <bottom/>
      <diagonal/>
    </border>
    <border>
      <left style="thin">
        <color rgb="FFBBCCDD"/>
      </left>
      <right/>
      <top style="thin">
        <color rgb="FFBBCCDD"/>
      </top>
      <bottom style="thin">
        <color rgb="FFBBCCDD"/>
      </bottom>
      <diagonal/>
    </border>
    <border>
      <left/>
      <right/>
      <top style="thin">
        <color rgb="FFBBCCDD"/>
      </top>
      <bottom style="thin">
        <color rgb="FFBBCCDD"/>
      </bottom>
      <diagonal/>
    </border>
    <border>
      <left style="thin">
        <color rgb="FFBBCCDD"/>
      </left>
      <right style="thin">
        <color rgb="FFBBCCDD"/>
      </right>
      <top style="thin">
        <color rgb="FFBBCCDD"/>
      </top>
      <bottom style="thin">
        <color rgb="FFBBCCDD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3" borderId="0" xfId="0" applyFill="1"/>
    <xf numFmtId="0" fontId="9" fillId="4" borderId="3" xfId="0" applyFont="1" applyFill="1" applyBorder="1" applyAlignment="1">
      <alignment horizontal="left" vertical="center"/>
    </xf>
    <xf numFmtId="0" fontId="11" fillId="4" borderId="3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center" vertical="center" wrapText="1"/>
    </xf>
    <xf numFmtId="1" fontId="10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6" fontId="16" fillId="4" borderId="3" xfId="0" applyNumberFormat="1" applyFont="1" applyFill="1" applyBorder="1" applyAlignment="1">
      <alignment horizontal="center" vertical="center"/>
    </xf>
    <xf numFmtId="167" fontId="16" fillId="4" borderId="3" xfId="0" applyNumberFormat="1" applyFont="1" applyFill="1" applyBorder="1" applyAlignment="1">
      <alignment horizontal="center" vertical="center"/>
    </xf>
    <xf numFmtId="1" fontId="10" fillId="6" borderId="3" xfId="0" applyNumberFormat="1" applyFont="1" applyFill="1" applyBorder="1" applyAlignment="1">
      <alignment horizontal="center" vertical="center"/>
    </xf>
    <xf numFmtId="164" fontId="16" fillId="6" borderId="3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6" fontId="16" fillId="6" borderId="3" xfId="0" applyNumberFormat="1" applyFont="1" applyFill="1" applyBorder="1" applyAlignment="1">
      <alignment horizontal="center" vertical="center"/>
    </xf>
    <xf numFmtId="167" fontId="16" fillId="6" borderId="3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1" fontId="9" fillId="7" borderId="3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0" fillId="6" borderId="3" xfId="0" applyFont="1" applyFill="1" applyBorder="1" applyAlignment="1">
      <alignment horizontal="left" vertical="center"/>
    </xf>
    <xf numFmtId="168" fontId="9" fillId="7" borderId="3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169" fontId="9" fillId="7" borderId="3" xfId="0" applyNumberFormat="1" applyFont="1" applyFill="1" applyBorder="1" applyAlignment="1">
      <alignment horizontal="center" vertical="center"/>
    </xf>
    <xf numFmtId="170" fontId="9" fillId="7" borderId="3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1" fontId="18" fillId="4" borderId="3" xfId="0" applyNumberFormat="1" applyFont="1" applyFill="1" applyBorder="1" applyAlignment="1">
      <alignment horizontal="center" vertical="center"/>
    </xf>
    <xf numFmtId="1" fontId="18" fillId="6" borderId="3" xfId="0" applyNumberFormat="1" applyFont="1" applyFill="1" applyBorder="1" applyAlignment="1">
      <alignment horizontal="center" vertical="center"/>
    </xf>
    <xf numFmtId="168" fontId="18" fillId="4" borderId="3" xfId="0" applyNumberFormat="1" applyFont="1" applyFill="1" applyBorder="1" applyAlignment="1">
      <alignment horizontal="center" vertical="center"/>
    </xf>
    <xf numFmtId="49" fontId="18" fillId="6" borderId="3" xfId="0" applyNumberFormat="1" applyFont="1" applyFill="1" applyBorder="1" applyAlignment="1">
      <alignment horizontal="center" vertical="center"/>
    </xf>
    <xf numFmtId="169" fontId="18" fillId="4" borderId="3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70" fontId="18" fillId="6" borderId="3" xfId="0" applyNumberFormat="1" applyFont="1" applyFill="1" applyBorder="1" applyAlignment="1">
      <alignment horizontal="center" vertical="center"/>
    </xf>
    <xf numFmtId="170" fontId="18" fillId="4" borderId="3" xfId="0" applyNumberFormat="1" applyFont="1" applyFill="1" applyBorder="1" applyAlignment="1">
      <alignment horizontal="center" vertical="center"/>
    </xf>
    <xf numFmtId="171" fontId="16" fillId="4" borderId="3" xfId="0" applyNumberFormat="1" applyFont="1" applyFill="1" applyBorder="1" applyAlignment="1">
      <alignment horizontal="center" vertical="center"/>
    </xf>
    <xf numFmtId="171" fontId="16" fillId="6" borderId="3" xfId="0" applyNumberFormat="1" applyFont="1" applyFill="1" applyBorder="1" applyAlignment="1">
      <alignment horizontal="center" vertical="center"/>
    </xf>
    <xf numFmtId="172" fontId="16" fillId="4" borderId="3" xfId="0" applyNumberFormat="1" applyFont="1" applyFill="1" applyBorder="1" applyAlignment="1">
      <alignment horizontal="center" vertical="center"/>
    </xf>
    <xf numFmtId="172" fontId="16" fillId="6" borderId="3" xfId="0" applyNumberFormat="1" applyFont="1" applyFill="1" applyBorder="1" applyAlignment="1">
      <alignment horizontal="center" vertical="center"/>
    </xf>
    <xf numFmtId="173" fontId="11" fillId="8" borderId="3" xfId="0" applyNumberFormat="1" applyFont="1" applyFill="1" applyBorder="1" applyAlignment="1">
      <alignment horizontal="center" vertical="center"/>
    </xf>
    <xf numFmtId="170" fontId="11" fillId="8" borderId="3" xfId="0" applyNumberFormat="1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left" vertical="center"/>
    </xf>
    <xf numFmtId="0" fontId="18" fillId="4" borderId="3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left" vertical="center"/>
    </xf>
    <xf numFmtId="0" fontId="18" fillId="6" borderId="3" xfId="0" applyFont="1" applyFill="1" applyBorder="1" applyAlignment="1">
      <alignment horizontal="center" vertical="center"/>
    </xf>
    <xf numFmtId="0" fontId="21" fillId="4" borderId="3" xfId="0" applyFont="1" applyFill="1" applyBorder="1" applyAlignment="1">
      <alignment horizontal="left" vertical="center"/>
    </xf>
    <xf numFmtId="0" fontId="21" fillId="6" borderId="3" xfId="0" applyFont="1" applyFill="1" applyBorder="1" applyAlignment="1">
      <alignment horizontal="left" vertical="center"/>
    </xf>
    <xf numFmtId="0" fontId="22" fillId="8" borderId="3" xfId="0" applyFont="1" applyFill="1" applyBorder="1" applyAlignment="1">
      <alignment horizontal="left" vertical="center"/>
    </xf>
    <xf numFmtId="0" fontId="12" fillId="8" borderId="3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8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7" fillId="4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CC"/>
      <rgbColor rgb="FFFFFF00"/>
      <rgbColor rgb="FFFF00FF"/>
      <rgbColor rgb="FF00FFFF"/>
      <rgbColor rgb="FF800000"/>
      <rgbColor rgb="FF008000"/>
      <rgbColor rgb="FF111111"/>
      <rgbColor rgb="FF808000"/>
      <rgbColor rgb="FF800080"/>
      <rgbColor rgb="FF1A6B3A"/>
      <rgbColor rgb="FFBBCCDD"/>
      <rgbColor rgb="FF888888"/>
      <rgbColor rgb="FF9999FF"/>
      <rgbColor rgb="FF993366"/>
      <rgbColor rgb="FFFFFACD"/>
      <rgbColor rgb="FFEEF4FC"/>
      <rgbColor rgb="FF660066"/>
      <rgbColor rgb="FFFF8080"/>
      <rgbColor rgb="FF0066CC"/>
      <rgbColor rgb="FFD6E4F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5FA"/>
      <rgbColor rgb="FFCCFFCC"/>
      <rgbColor rgb="FFFFFF99"/>
      <rgbColor rgb="FF99CCFF"/>
      <rgbColor rgb="FFFF99CC"/>
      <rgbColor rgb="FFCC99FF"/>
      <rgbColor rgb="FFFFCC99"/>
      <rgbColor rgb="FF2E6DB4"/>
      <rgbColor rgb="FF33CCCC"/>
      <rgbColor rgb="FF99CC00"/>
      <rgbColor rgb="FFFFCC00"/>
      <rgbColor rgb="FFFF9900"/>
      <rgbColor rgb="FFCC6600"/>
      <rgbColor rgb="FF555555"/>
      <rgbColor rgb="FF969696"/>
      <rgbColor rgb="FF1B3A6B"/>
      <rgbColor rgb="FF339966"/>
      <rgbColor rgb="FF005500"/>
      <rgbColor rgb="FF222222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868680</xdr:colOff>
      <xdr:row>36</xdr:row>
      <xdr:rowOff>7620</xdr:rowOff>
    </xdr:from>
    <xdr:to>
      <xdr:col>6</xdr:col>
      <xdr:colOff>60960</xdr:colOff>
      <xdr:row>37</xdr:row>
      <xdr:rowOff>220980</xdr:rowOff>
    </xdr:to>
    <xdr:sp macro="[0]!AbrirCalculado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1220403-7270-5211-9031-E09116ADADCD}"/>
            </a:ext>
          </a:extLst>
        </xdr:cNvPr>
        <xdr:cNvSpPr/>
      </xdr:nvSpPr>
      <xdr:spPr>
        <a:xfrm>
          <a:off x="4572000" y="9913620"/>
          <a:ext cx="289560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>
              <a:latin typeface="Aptos Black" panose="020F0502020204030204" pitchFamily="34" charset="0"/>
            </a:rPr>
            <a:t>ABRIR CALCULADORA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B3A6B"/>
  </sheetPr>
  <dimension ref="A1:H44"/>
  <sheetViews>
    <sheetView showGridLines="0" topLeftCell="A28" zoomScaleNormal="100" workbookViewId="0">
      <selection activeCell="F41" sqref="F41"/>
    </sheetView>
  </sheetViews>
  <sheetFormatPr baseColWidth="10" defaultColWidth="8.6640625" defaultRowHeight="14.4" x14ac:dyDescent="0.3"/>
  <cols>
    <col min="1" max="8" width="18" customWidth="1"/>
  </cols>
  <sheetData>
    <row r="1" spans="1:8" ht="19.5" customHeight="1" x14ac:dyDescent="0.3"/>
    <row r="2" spans="1:8" ht="19.5" customHeight="1" x14ac:dyDescent="0.3">
      <c r="A2" s="49"/>
      <c r="B2" s="49"/>
      <c r="C2" s="49"/>
      <c r="D2" s="49"/>
      <c r="E2" s="49"/>
      <c r="F2" s="49"/>
      <c r="G2" s="49"/>
      <c r="H2" s="49"/>
    </row>
    <row r="3" spans="1:8" ht="48" customHeight="1" x14ac:dyDescent="0.3">
      <c r="A3" s="50" t="s">
        <v>0</v>
      </c>
      <c r="B3" s="50"/>
      <c r="C3" s="50"/>
      <c r="D3" s="50"/>
      <c r="E3" s="50"/>
      <c r="F3" s="50"/>
      <c r="G3" s="50"/>
      <c r="H3" s="50"/>
    </row>
    <row r="4" spans="1:8" ht="36" customHeight="1" x14ac:dyDescent="0.3">
      <c r="A4" s="51" t="s">
        <v>1</v>
      </c>
      <c r="B4" s="51"/>
      <c r="C4" s="51"/>
      <c r="D4" s="51"/>
      <c r="E4" s="51"/>
      <c r="F4" s="51"/>
      <c r="G4" s="51"/>
      <c r="H4" s="51"/>
    </row>
    <row r="5" spans="1:8" ht="30" customHeight="1" x14ac:dyDescent="0.3">
      <c r="A5" s="52" t="s">
        <v>2</v>
      </c>
      <c r="B5" s="52"/>
      <c r="C5" s="52"/>
      <c r="D5" s="52"/>
      <c r="E5" s="52"/>
      <c r="F5" s="52"/>
      <c r="G5" s="52"/>
      <c r="H5" s="52"/>
    </row>
    <row r="6" spans="1:8" ht="19.5" customHeight="1" x14ac:dyDescent="0.3">
      <c r="A6" s="53" t="s">
        <v>3</v>
      </c>
      <c r="B6" s="53"/>
      <c r="C6" s="53"/>
      <c r="D6" s="53"/>
      <c r="E6" s="53"/>
      <c r="F6" s="53"/>
      <c r="G6" s="53"/>
      <c r="H6" s="53"/>
    </row>
    <row r="7" spans="1:8" ht="30" customHeight="1" x14ac:dyDescent="0.3">
      <c r="A7" s="49"/>
      <c r="B7" s="49"/>
      <c r="C7" s="49"/>
      <c r="D7" s="49"/>
      <c r="E7" s="49"/>
      <c r="F7" s="49"/>
      <c r="G7" s="49"/>
      <c r="H7" s="49"/>
    </row>
    <row r="8" spans="1:8" ht="19.5" customHeight="1" x14ac:dyDescent="0.3">
      <c r="A8" s="54" t="s">
        <v>4</v>
      </c>
      <c r="B8" s="54"/>
      <c r="C8" s="54"/>
      <c r="D8" s="54"/>
      <c r="E8" s="54"/>
      <c r="F8" s="54"/>
      <c r="G8" s="54"/>
      <c r="H8" s="54"/>
    </row>
    <row r="9" spans="1:8" ht="19.5" customHeight="1" x14ac:dyDescent="0.3">
      <c r="A9" s="1"/>
      <c r="B9" s="1"/>
      <c r="C9" s="1"/>
      <c r="D9" s="1"/>
      <c r="E9" s="1"/>
      <c r="F9" s="1"/>
      <c r="G9" s="1"/>
      <c r="H9" s="1"/>
    </row>
    <row r="10" spans="1:8" ht="19.5" customHeight="1" x14ac:dyDescent="0.3"/>
    <row r="11" spans="1:8" ht="21.75" customHeight="1" x14ac:dyDescent="0.3">
      <c r="B11" s="55" t="s">
        <v>5</v>
      </c>
      <c r="C11" s="55"/>
      <c r="D11" s="56" t="s">
        <v>6</v>
      </c>
      <c r="E11" s="56"/>
      <c r="F11" s="56"/>
      <c r="G11" s="56"/>
      <c r="H11" s="56"/>
    </row>
    <row r="12" spans="1:8" ht="19.5" customHeight="1" x14ac:dyDescent="0.3"/>
    <row r="13" spans="1:8" ht="21.75" customHeight="1" x14ac:dyDescent="0.3">
      <c r="B13" s="55" t="s">
        <v>7</v>
      </c>
      <c r="C13" s="55"/>
      <c r="D13" s="56" t="s">
        <v>8</v>
      </c>
      <c r="E13" s="56"/>
      <c r="F13" s="56"/>
      <c r="G13" s="56"/>
      <c r="H13" s="56"/>
    </row>
    <row r="14" spans="1:8" ht="19.5" customHeight="1" x14ac:dyDescent="0.3"/>
    <row r="15" spans="1:8" ht="21.75" customHeight="1" x14ac:dyDescent="0.3">
      <c r="B15" s="55" t="s">
        <v>9</v>
      </c>
      <c r="C15" s="55"/>
      <c r="D15" s="56" t="s">
        <v>10</v>
      </c>
      <c r="E15" s="56"/>
      <c r="F15" s="56"/>
      <c r="G15" s="56"/>
      <c r="H15" s="56"/>
    </row>
    <row r="16" spans="1:8" ht="19.5" customHeight="1" x14ac:dyDescent="0.3"/>
    <row r="17" spans="2:8" ht="21.75" customHeight="1" x14ac:dyDescent="0.3">
      <c r="B17" s="55" t="s">
        <v>11</v>
      </c>
      <c r="C17" s="55"/>
      <c r="D17" s="56" t="s">
        <v>12</v>
      </c>
      <c r="E17" s="56"/>
      <c r="F17" s="56"/>
      <c r="G17" s="56"/>
      <c r="H17" s="56"/>
    </row>
    <row r="18" spans="2:8" ht="19.5" customHeight="1" x14ac:dyDescent="0.3"/>
    <row r="19" spans="2:8" ht="21.75" customHeight="1" x14ac:dyDescent="0.3">
      <c r="B19" s="55" t="s">
        <v>13</v>
      </c>
      <c r="C19" s="55"/>
      <c r="D19" s="56" t="s">
        <v>14</v>
      </c>
      <c r="E19" s="56"/>
      <c r="F19" s="56"/>
      <c r="G19" s="56"/>
      <c r="H19" s="56"/>
    </row>
    <row r="20" spans="2:8" ht="19.5" customHeight="1" x14ac:dyDescent="0.3"/>
    <row r="21" spans="2:8" ht="19.5" customHeight="1" x14ac:dyDescent="0.3"/>
    <row r="22" spans="2:8" ht="24" customHeight="1" x14ac:dyDescent="0.3">
      <c r="B22" s="57" t="s">
        <v>15</v>
      </c>
      <c r="C22" s="57"/>
      <c r="D22" s="57"/>
      <c r="E22" s="57"/>
      <c r="F22" s="57"/>
      <c r="G22" s="57"/>
      <c r="H22" s="57"/>
    </row>
    <row r="23" spans="2:8" ht="19.5" customHeight="1" x14ac:dyDescent="0.3">
      <c r="B23" s="58" t="s">
        <v>16</v>
      </c>
      <c r="C23" s="58"/>
      <c r="D23" s="58"/>
      <c r="E23" s="58"/>
      <c r="F23" s="58"/>
      <c r="G23" s="58"/>
      <c r="H23" s="58"/>
    </row>
    <row r="24" spans="2:8" ht="19.5" customHeight="1" x14ac:dyDescent="0.3">
      <c r="B24" s="59" t="s">
        <v>17</v>
      </c>
      <c r="C24" s="59"/>
      <c r="D24" s="59"/>
      <c r="E24" s="59"/>
      <c r="F24" s="59"/>
      <c r="G24" s="59"/>
      <c r="H24" s="59"/>
    </row>
    <row r="25" spans="2:8" ht="19.5" customHeight="1" x14ac:dyDescent="0.3">
      <c r="B25" s="58" t="s">
        <v>18</v>
      </c>
      <c r="C25" s="58"/>
      <c r="D25" s="58"/>
      <c r="E25" s="58"/>
      <c r="F25" s="58"/>
      <c r="G25" s="58"/>
      <c r="H25" s="58"/>
    </row>
    <row r="26" spans="2:8" ht="19.5" customHeight="1" x14ac:dyDescent="0.3">
      <c r="B26" s="59" t="s">
        <v>19</v>
      </c>
      <c r="C26" s="59"/>
      <c r="D26" s="59"/>
      <c r="E26" s="59"/>
      <c r="F26" s="59"/>
      <c r="G26" s="59"/>
      <c r="H26" s="59"/>
    </row>
    <row r="27" spans="2:8" ht="19.5" customHeight="1" x14ac:dyDescent="0.3">
      <c r="B27" s="58" t="s">
        <v>20</v>
      </c>
      <c r="C27" s="58"/>
      <c r="D27" s="58"/>
      <c r="E27" s="58"/>
      <c r="F27" s="58"/>
      <c r="G27" s="58"/>
      <c r="H27" s="58"/>
    </row>
    <row r="28" spans="2:8" ht="19.5" customHeight="1" x14ac:dyDescent="0.3">
      <c r="B28" s="59" t="s">
        <v>21</v>
      </c>
      <c r="C28" s="59"/>
      <c r="D28" s="59"/>
      <c r="E28" s="59"/>
      <c r="F28" s="59"/>
      <c r="G28" s="59"/>
      <c r="H28" s="59"/>
    </row>
    <row r="29" spans="2:8" ht="19.5" customHeight="1" x14ac:dyDescent="0.3"/>
    <row r="30" spans="2:8" ht="19.5" customHeight="1" x14ac:dyDescent="0.3"/>
    <row r="31" spans="2:8" ht="24" customHeight="1" x14ac:dyDescent="0.3">
      <c r="B31" s="57" t="s">
        <v>22</v>
      </c>
      <c r="C31" s="57"/>
      <c r="D31" s="57"/>
      <c r="E31" s="57"/>
      <c r="F31" s="57"/>
      <c r="G31" s="57"/>
      <c r="H31" s="57"/>
    </row>
    <row r="32" spans="2:8" ht="19.5" customHeight="1" x14ac:dyDescent="0.3">
      <c r="B32" s="2" t="s">
        <v>23</v>
      </c>
      <c r="C32" s="60" t="s">
        <v>24</v>
      </c>
      <c r="D32" s="60"/>
      <c r="E32" s="60"/>
      <c r="F32" s="60"/>
      <c r="G32" s="60"/>
      <c r="H32" s="60"/>
    </row>
    <row r="33" spans="2:8" ht="19.5" customHeight="1" x14ac:dyDescent="0.3">
      <c r="B33" s="3" t="s">
        <v>25</v>
      </c>
      <c r="C33" s="61" t="s">
        <v>26</v>
      </c>
      <c r="D33" s="61"/>
      <c r="E33" s="61"/>
      <c r="F33" s="61"/>
      <c r="G33" s="61"/>
      <c r="H33" s="61"/>
    </row>
    <row r="34" spans="2:8" ht="19.5" customHeight="1" x14ac:dyDescent="0.3">
      <c r="B34" s="4" t="s">
        <v>27</v>
      </c>
      <c r="C34" s="60" t="s">
        <v>28</v>
      </c>
      <c r="D34" s="60"/>
      <c r="E34" s="60"/>
      <c r="F34" s="60"/>
      <c r="G34" s="60"/>
      <c r="H34" s="60"/>
    </row>
    <row r="35" spans="2:8" ht="19.5" customHeight="1" x14ac:dyDescent="0.3">
      <c r="B35" s="5" t="s">
        <v>29</v>
      </c>
      <c r="C35" s="61" t="s">
        <v>30</v>
      </c>
      <c r="D35" s="61"/>
      <c r="E35" s="61"/>
      <c r="F35" s="61"/>
      <c r="G35" s="61"/>
      <c r="H35" s="61"/>
    </row>
    <row r="36" spans="2:8" ht="19.5" customHeight="1" x14ac:dyDescent="0.3"/>
    <row r="37" spans="2:8" ht="19.5" customHeight="1" x14ac:dyDescent="0.3"/>
    <row r="38" spans="2:8" ht="19.5" customHeight="1" x14ac:dyDescent="0.3"/>
    <row r="39" spans="2:8" ht="19.5" customHeight="1" x14ac:dyDescent="0.3"/>
    <row r="40" spans="2:8" ht="19.5" customHeight="1" x14ac:dyDescent="0.3"/>
    <row r="41" spans="2:8" ht="19.5" customHeight="1" x14ac:dyDescent="0.3"/>
    <row r="42" spans="2:8" ht="19.5" customHeight="1" x14ac:dyDescent="0.3"/>
    <row r="43" spans="2:8" ht="19.5" customHeight="1" x14ac:dyDescent="0.3"/>
    <row r="44" spans="2:8" ht="19.5" customHeight="1" x14ac:dyDescent="0.3"/>
  </sheetData>
  <mergeCells count="29">
    <mergeCell ref="C34:H34"/>
    <mergeCell ref="C35:H35"/>
    <mergeCell ref="B27:H27"/>
    <mergeCell ref="B28:H28"/>
    <mergeCell ref="B31:H31"/>
    <mergeCell ref="C32:H32"/>
    <mergeCell ref="C33:H33"/>
    <mergeCell ref="B22:H22"/>
    <mergeCell ref="B23:H23"/>
    <mergeCell ref="B24:H24"/>
    <mergeCell ref="B25:H25"/>
    <mergeCell ref="B26:H26"/>
    <mergeCell ref="B15:C15"/>
    <mergeCell ref="D15:H15"/>
    <mergeCell ref="B17:C17"/>
    <mergeCell ref="D17:H17"/>
    <mergeCell ref="B19:C19"/>
    <mergeCell ref="D19:H19"/>
    <mergeCell ref="A7:H7"/>
    <mergeCell ref="A8:H8"/>
    <mergeCell ref="B11:C11"/>
    <mergeCell ref="D11:H11"/>
    <mergeCell ref="B13:C13"/>
    <mergeCell ref="D13:H13"/>
    <mergeCell ref="A2:H2"/>
    <mergeCell ref="A3:H3"/>
    <mergeCell ref="A4:H4"/>
    <mergeCell ref="A5:H5"/>
    <mergeCell ref="A6:H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E6DB4"/>
  </sheetPr>
  <dimension ref="B1:K105"/>
  <sheetViews>
    <sheetView showGridLines="0" zoomScaleNormal="100" workbookViewId="0">
      <pane xSplit="1" ySplit="3" topLeftCell="B23" activePane="bottomRight" state="frozen"/>
      <selection pane="topRight" activeCell="B1" sqref="B1"/>
      <selection pane="bottomLeft" activeCell="A4" sqref="A4"/>
      <selection pane="bottomRight" activeCell="H19" sqref="H19"/>
    </sheetView>
  </sheetViews>
  <sheetFormatPr baseColWidth="10" defaultColWidth="8.6640625" defaultRowHeight="14.4" x14ac:dyDescent="0.3"/>
  <cols>
    <col min="1" max="1" width="4" customWidth="1"/>
    <col min="2" max="2" width="8" customWidth="1"/>
    <col min="3" max="4" width="14" customWidth="1"/>
    <col min="5" max="6" width="12" customWidth="1"/>
    <col min="7" max="10" width="14" customWidth="1"/>
    <col min="11" max="11" width="9.6640625" bestFit="1" customWidth="1"/>
  </cols>
  <sheetData>
    <row r="1" spans="2:11" ht="36" customHeight="1" x14ac:dyDescent="0.3">
      <c r="B1" s="62" t="s">
        <v>31</v>
      </c>
      <c r="C1" s="62"/>
      <c r="D1" s="62"/>
      <c r="E1" s="62"/>
      <c r="F1" s="62"/>
      <c r="G1" s="62"/>
      <c r="H1" s="62"/>
      <c r="I1" s="62"/>
      <c r="J1" s="62"/>
    </row>
    <row r="2" spans="2:11" ht="18" customHeight="1" x14ac:dyDescent="0.3">
      <c r="B2" s="63" t="s">
        <v>32</v>
      </c>
      <c r="C2" s="63"/>
      <c r="D2" s="63"/>
      <c r="E2" s="63"/>
      <c r="F2" s="63"/>
      <c r="G2" s="63"/>
      <c r="H2" s="63"/>
      <c r="I2" s="63"/>
      <c r="J2" s="63"/>
    </row>
    <row r="3" spans="2:11" ht="21.75" customHeight="1" x14ac:dyDescent="0.3">
      <c r="B3" s="6" t="s">
        <v>33</v>
      </c>
      <c r="C3" s="6" t="s">
        <v>34</v>
      </c>
      <c r="D3" s="6" t="s">
        <v>35</v>
      </c>
      <c r="E3" s="6" t="s">
        <v>36</v>
      </c>
      <c r="F3" s="6" t="s">
        <v>37</v>
      </c>
      <c r="G3" s="6" t="s">
        <v>38</v>
      </c>
      <c r="H3" s="6" t="s">
        <v>39</v>
      </c>
      <c r="I3" s="6" t="s">
        <v>40</v>
      </c>
      <c r="J3" s="6" t="s">
        <v>41</v>
      </c>
      <c r="K3" s="6" t="s">
        <v>42</v>
      </c>
    </row>
    <row r="4" spans="2:11" ht="15.75" customHeight="1" x14ac:dyDescent="0.3">
      <c r="B4" s="7">
        <v>0</v>
      </c>
      <c r="C4" s="8">
        <v>100000</v>
      </c>
      <c r="D4" s="8">
        <v>1450</v>
      </c>
      <c r="E4" s="9">
        <v>1.4500000000000001E-2</v>
      </c>
      <c r="F4" s="9">
        <v>0.98550000000000004</v>
      </c>
      <c r="G4" s="10">
        <f t="shared" ref="G4:G35" si="0">E4*1000</f>
        <v>14.5</v>
      </c>
      <c r="H4" s="11">
        <f t="shared" ref="H4:H35" si="1">LN(E4)</f>
        <v>-4.2336066295556085</v>
      </c>
      <c r="I4" s="11">
        <f t="shared" ref="I4:I35" si="2">LOG(E4,10)</f>
        <v>-1.838631997765025</v>
      </c>
      <c r="J4" s="9">
        <f t="shared" ref="J4:J35" si="3">C9/C4</f>
        <v>0.98024811000000001</v>
      </c>
      <c r="K4" s="9">
        <f t="shared" ref="K4:K35" si="4">C14/C4</f>
        <v>0.97750092999999993</v>
      </c>
    </row>
    <row r="5" spans="2:11" ht="15.75" customHeight="1" x14ac:dyDescent="0.3">
      <c r="B5" s="12">
        <v>1</v>
      </c>
      <c r="C5" s="13">
        <v>98550</v>
      </c>
      <c r="D5" s="13">
        <v>192.172</v>
      </c>
      <c r="E5" s="14">
        <v>1.9499999999999999E-3</v>
      </c>
      <c r="F5" s="14">
        <v>0.99804999999999999</v>
      </c>
      <c r="G5" s="15">
        <f t="shared" si="0"/>
        <v>1.95</v>
      </c>
      <c r="H5" s="16">
        <f t="shared" si="1"/>
        <v>-6.2399259064064818</v>
      </c>
      <c r="I5" s="16">
        <f t="shared" si="2"/>
        <v>-2.7099653886374817</v>
      </c>
      <c r="J5" s="14">
        <f t="shared" si="3"/>
        <v>0.99405414510400802</v>
      </c>
      <c r="K5" s="14">
        <f t="shared" si="4"/>
        <v>0.99140713343480458</v>
      </c>
    </row>
    <row r="6" spans="2:11" ht="15.75" customHeight="1" x14ac:dyDescent="0.3">
      <c r="B6" s="7">
        <v>2</v>
      </c>
      <c r="C6" s="8">
        <v>98357.827999999994</v>
      </c>
      <c r="D6" s="8">
        <v>144.023</v>
      </c>
      <c r="E6" s="9">
        <v>1.4643E-3</v>
      </c>
      <c r="F6" s="9">
        <v>0.99853570000000003</v>
      </c>
      <c r="G6" s="10">
        <f t="shared" si="0"/>
        <v>1.4642999999999999</v>
      </c>
      <c r="H6" s="11">
        <f t="shared" si="1"/>
        <v>-6.5263779664030626</v>
      </c>
      <c r="I6" s="11">
        <f t="shared" si="2"/>
        <v>-2.8343699376238161</v>
      </c>
      <c r="J6" s="9">
        <f t="shared" si="3"/>
        <v>0.99540962819959788</v>
      </c>
      <c r="K6" s="9">
        <f t="shared" si="4"/>
        <v>0.99282706812110577</v>
      </c>
    </row>
    <row r="7" spans="2:11" ht="15.75" customHeight="1" x14ac:dyDescent="0.3">
      <c r="B7" s="12">
        <v>3</v>
      </c>
      <c r="C7" s="13">
        <v>98213.804000000004</v>
      </c>
      <c r="D7" s="13">
        <v>107.991</v>
      </c>
      <c r="E7" s="14">
        <v>1.0995E-3</v>
      </c>
      <c r="F7" s="14">
        <v>0.99890049999999997</v>
      </c>
      <c r="G7" s="15">
        <f t="shared" si="0"/>
        <v>1.0994999999999999</v>
      </c>
      <c r="H7" s="16">
        <f t="shared" si="1"/>
        <v>-6.8128997479694586</v>
      </c>
      <c r="I7" s="16">
        <f t="shared" si="2"/>
        <v>-2.9588047663031909</v>
      </c>
      <c r="J7" s="14">
        <f t="shared" si="3"/>
        <v>0.99631141463576744</v>
      </c>
      <c r="K7" s="14">
        <f t="shared" si="4"/>
        <v>0.99372168702476893</v>
      </c>
    </row>
    <row r="8" spans="2:11" ht="15.75" customHeight="1" x14ac:dyDescent="0.3">
      <c r="B8" s="7">
        <v>4</v>
      </c>
      <c r="C8" s="8">
        <v>98105.813999999998</v>
      </c>
      <c r="D8" s="8">
        <v>81.001999999999995</v>
      </c>
      <c r="E8" s="9">
        <v>8.2569999999999996E-4</v>
      </c>
      <c r="F8" s="9">
        <v>0.99917429999999996</v>
      </c>
      <c r="G8" s="10">
        <f t="shared" si="0"/>
        <v>0.82569999999999999</v>
      </c>
      <c r="H8" s="11">
        <f t="shared" si="1"/>
        <v>-7.0992790465408913</v>
      </c>
      <c r="I8" s="11">
        <f t="shared" si="2"/>
        <v>-3.0831777154040876</v>
      </c>
      <c r="J8" s="9">
        <f t="shared" si="3"/>
        <v>0.99687773856093786</v>
      </c>
      <c r="K8" s="9">
        <f t="shared" si="4"/>
        <v>0.99420650034054048</v>
      </c>
    </row>
    <row r="9" spans="2:11" ht="15.75" customHeight="1" x14ac:dyDescent="0.3">
      <c r="B9" s="12">
        <v>5</v>
      </c>
      <c r="C9" s="13">
        <v>98024.811000000002</v>
      </c>
      <c r="D9" s="13">
        <v>60.774999999999999</v>
      </c>
      <c r="E9" s="14">
        <v>6.2E-4</v>
      </c>
      <c r="F9" s="14">
        <v>0.99938000000000005</v>
      </c>
      <c r="G9" s="15">
        <f t="shared" si="0"/>
        <v>0.62</v>
      </c>
      <c r="H9" s="16">
        <f t="shared" si="1"/>
        <v>-7.3857910799251369</v>
      </c>
      <c r="I9" s="16">
        <f t="shared" si="2"/>
        <v>-3.2076083105017457</v>
      </c>
      <c r="J9" s="14">
        <f t="shared" si="3"/>
        <v>0.99719746462964354</v>
      </c>
      <c r="K9" s="14">
        <f t="shared" si="4"/>
        <v>0.99436744642129427</v>
      </c>
    </row>
    <row r="10" spans="2:11" ht="15.75" customHeight="1" x14ac:dyDescent="0.3">
      <c r="B10" s="7">
        <v>6</v>
      </c>
      <c r="C10" s="8">
        <v>97964.035999999993</v>
      </c>
      <c r="D10" s="8">
        <v>57.707000000000001</v>
      </c>
      <c r="E10" s="9">
        <v>5.8909999999999995E-4</v>
      </c>
      <c r="F10" s="9">
        <v>0.99941089999999999</v>
      </c>
      <c r="G10" s="10">
        <f t="shared" si="0"/>
        <v>0.58909999999999996</v>
      </c>
      <c r="H10" s="11">
        <f t="shared" si="1"/>
        <v>-7.4369146094366325</v>
      </c>
      <c r="I10" s="11">
        <f t="shared" si="2"/>
        <v>-3.2298109772640062</v>
      </c>
      <c r="J10" s="9">
        <f t="shared" si="3"/>
        <v>0.99733715544345281</v>
      </c>
      <c r="K10" s="9">
        <f t="shared" si="4"/>
        <v>0.99426794747411196</v>
      </c>
    </row>
    <row r="11" spans="2:11" ht="15.75" customHeight="1" x14ac:dyDescent="0.3">
      <c r="B11" s="12">
        <v>7</v>
      </c>
      <c r="C11" s="13">
        <v>97906.328999999998</v>
      </c>
      <c r="D11" s="13">
        <v>54.795000000000002</v>
      </c>
      <c r="E11" s="14">
        <v>5.597E-4</v>
      </c>
      <c r="F11" s="14">
        <v>0.99944029999999995</v>
      </c>
      <c r="G11" s="15">
        <f t="shared" si="0"/>
        <v>0.55969999999999998</v>
      </c>
      <c r="H11" s="16">
        <f t="shared" si="1"/>
        <v>-7.4881096320669602</v>
      </c>
      <c r="I11" s="16">
        <f t="shared" si="2"/>
        <v>-3.25204469309327</v>
      </c>
      <c r="J11" s="14">
        <f t="shared" si="3"/>
        <v>0.99740553034114887</v>
      </c>
      <c r="K11" s="14">
        <f t="shared" si="4"/>
        <v>0.99377360987561891</v>
      </c>
    </row>
    <row r="12" spans="2:11" ht="15.75" customHeight="1" x14ac:dyDescent="0.3">
      <c r="B12" s="7">
        <v>8</v>
      </c>
      <c r="C12" s="8">
        <v>97851.534</v>
      </c>
      <c r="D12" s="8">
        <v>52.031999999999996</v>
      </c>
      <c r="E12" s="9">
        <v>5.3169999999999997E-4</v>
      </c>
      <c r="F12" s="9">
        <v>0.99946829999999998</v>
      </c>
      <c r="G12" s="10">
        <f t="shared" si="0"/>
        <v>0.53169999999999995</v>
      </c>
      <c r="H12" s="11">
        <f t="shared" si="1"/>
        <v>-7.5394311374539811</v>
      </c>
      <c r="I12" s="11">
        <f t="shared" si="2"/>
        <v>-3.2743333396858212</v>
      </c>
      <c r="J12" s="9">
        <f t="shared" si="3"/>
        <v>0.99740068459223141</v>
      </c>
      <c r="K12" s="9">
        <f t="shared" si="4"/>
        <v>0.9927014634231488</v>
      </c>
    </row>
    <row r="13" spans="2:11" ht="15.75" customHeight="1" x14ac:dyDescent="0.3">
      <c r="B13" s="12">
        <v>9</v>
      </c>
      <c r="C13" s="13">
        <v>97799.501999999993</v>
      </c>
      <c r="D13" s="13">
        <v>49.408999999999999</v>
      </c>
      <c r="E13" s="14">
        <v>5.0520000000000003E-4</v>
      </c>
      <c r="F13" s="14">
        <v>0.99949480000000002</v>
      </c>
      <c r="G13" s="15">
        <f t="shared" si="0"/>
        <v>0.50519999999999998</v>
      </c>
      <c r="H13" s="16">
        <f t="shared" si="1"/>
        <v>-7.5905561674879376</v>
      </c>
      <c r="I13" s="16">
        <f t="shared" si="2"/>
        <v>-3.2965366581167062</v>
      </c>
      <c r="J13" s="14">
        <f t="shared" si="3"/>
        <v>0.99732039535334238</v>
      </c>
      <c r="K13" s="14">
        <f t="shared" si="4"/>
        <v>0.99077589372592101</v>
      </c>
    </row>
    <row r="14" spans="2:11" ht="15.75" customHeight="1" x14ac:dyDescent="0.3">
      <c r="B14" s="7">
        <v>10</v>
      </c>
      <c r="C14" s="8">
        <v>97750.092999999993</v>
      </c>
      <c r="D14" s="8">
        <v>46.92</v>
      </c>
      <c r="E14" s="9">
        <v>4.8000000000000001E-4</v>
      </c>
      <c r="F14" s="9">
        <v>0.99951999999999996</v>
      </c>
      <c r="G14" s="10">
        <f t="shared" si="0"/>
        <v>0.48000000000000004</v>
      </c>
      <c r="H14" s="11">
        <f t="shared" si="1"/>
        <v>-7.641724454062337</v>
      </c>
      <c r="I14" s="11">
        <f t="shared" si="2"/>
        <v>-3.3187587626244124</v>
      </c>
      <c r="J14" s="9">
        <f t="shared" si="3"/>
        <v>0.99716202827551281</v>
      </c>
      <c r="K14" s="9">
        <f t="shared" si="4"/>
        <v>0.987583080867248</v>
      </c>
    </row>
    <row r="15" spans="2:11" ht="15.75" customHeight="1" x14ac:dyDescent="0.3">
      <c r="B15" s="12">
        <v>11</v>
      </c>
      <c r="C15" s="13">
        <v>97703.172999999995</v>
      </c>
      <c r="D15" s="13">
        <v>50.859000000000002</v>
      </c>
      <c r="E15" s="14">
        <v>5.2050000000000002E-4</v>
      </c>
      <c r="F15" s="14">
        <v>0.99947949999999997</v>
      </c>
      <c r="G15" s="15">
        <f t="shared" si="0"/>
        <v>0.52050000000000007</v>
      </c>
      <c r="H15" s="16">
        <f t="shared" si="1"/>
        <v>-7.5607206699092506</v>
      </c>
      <c r="I15" s="16">
        <f t="shared" si="2"/>
        <v>-3.2835792661534446</v>
      </c>
      <c r="J15" s="14">
        <f t="shared" si="3"/>
        <v>0.99692259738585975</v>
      </c>
      <c r="K15" s="14">
        <f t="shared" si="4"/>
        <v>0.98250446789481449</v>
      </c>
    </row>
    <row r="16" spans="2:11" ht="15.75" customHeight="1" x14ac:dyDescent="0.3">
      <c r="B16" s="7">
        <v>12</v>
      </c>
      <c r="C16" s="8">
        <v>97652.313999999998</v>
      </c>
      <c r="D16" s="8">
        <v>55.125999999999998</v>
      </c>
      <c r="E16" s="9">
        <v>5.6450000000000001E-4</v>
      </c>
      <c r="F16" s="9">
        <v>0.99943550000000003</v>
      </c>
      <c r="G16" s="10">
        <f t="shared" si="0"/>
        <v>0.5645</v>
      </c>
      <c r="H16" s="11">
        <f t="shared" si="1"/>
        <v>-7.4795701743745573</v>
      </c>
      <c r="I16" s="11">
        <f t="shared" si="2"/>
        <v>-3.2483360537390129</v>
      </c>
      <c r="J16" s="9">
        <f t="shared" si="3"/>
        <v>0.9963586321159783</v>
      </c>
      <c r="K16" s="9">
        <f t="shared" si="4"/>
        <v>0.97735324531070511</v>
      </c>
    </row>
    <row r="17" spans="2:11" ht="15.75" customHeight="1" x14ac:dyDescent="0.3">
      <c r="B17" s="12">
        <v>13</v>
      </c>
      <c r="C17" s="13">
        <v>97597.187000000005</v>
      </c>
      <c r="D17" s="13">
        <v>59.749000000000002</v>
      </c>
      <c r="E17" s="14">
        <v>6.1220000000000003E-4</v>
      </c>
      <c r="F17" s="14">
        <v>0.99938780000000005</v>
      </c>
      <c r="G17" s="15">
        <f t="shared" si="0"/>
        <v>0.61220000000000008</v>
      </c>
      <c r="H17" s="16">
        <f t="shared" si="1"/>
        <v>-7.3984515314529622</v>
      </c>
      <c r="I17" s="16">
        <f t="shared" si="2"/>
        <v>-3.2131066747386838</v>
      </c>
      <c r="J17" s="14">
        <f t="shared" si="3"/>
        <v>0.9952885322401761</v>
      </c>
      <c r="K17" s="14">
        <f t="shared" si="4"/>
        <v>0.97213070290642689</v>
      </c>
    </row>
    <row r="18" spans="2:11" ht="15.75" customHeight="1" x14ac:dyDescent="0.3">
      <c r="B18" s="7">
        <v>14</v>
      </c>
      <c r="C18" s="8">
        <v>97537.437999999995</v>
      </c>
      <c r="D18" s="8">
        <v>64.757000000000005</v>
      </c>
      <c r="E18" s="9">
        <v>6.6390000000000004E-4</v>
      </c>
      <c r="F18" s="9">
        <v>0.99933609999999995</v>
      </c>
      <c r="G18" s="10">
        <f t="shared" si="0"/>
        <v>0.66390000000000005</v>
      </c>
      <c r="H18" s="11">
        <f t="shared" si="1"/>
        <v>-7.3173790222391606</v>
      </c>
      <c r="I18" s="11">
        <f t="shared" si="2"/>
        <v>-3.1778973313530794</v>
      </c>
      <c r="J18" s="9">
        <f t="shared" si="3"/>
        <v>0.99343791457799002</v>
      </c>
      <c r="K18" s="9">
        <f t="shared" si="4"/>
        <v>0.96683832314726181</v>
      </c>
    </row>
    <row r="19" spans="2:11" ht="15.75" customHeight="1" x14ac:dyDescent="0.3">
      <c r="B19" s="12">
        <v>15</v>
      </c>
      <c r="C19" s="13">
        <v>97472.680999999997</v>
      </c>
      <c r="D19" s="13">
        <v>70.180000000000007</v>
      </c>
      <c r="E19" s="14">
        <v>7.2000000000000005E-4</v>
      </c>
      <c r="F19" s="14">
        <v>0.99927999999999995</v>
      </c>
      <c r="G19" s="15">
        <f t="shared" si="0"/>
        <v>0.72000000000000008</v>
      </c>
      <c r="H19" s="16">
        <f t="shared" si="1"/>
        <v>-7.2362593459541733</v>
      </c>
      <c r="I19" s="16">
        <f t="shared" si="2"/>
        <v>-3.1426675035687315</v>
      </c>
      <c r="J19" s="14">
        <f t="shared" si="3"/>
        <v>0.99039379044062614</v>
      </c>
      <c r="K19" s="14">
        <f t="shared" si="4"/>
        <v>0.96147783192708125</v>
      </c>
    </row>
    <row r="20" spans="2:11" ht="15.75" customHeight="1" x14ac:dyDescent="0.3">
      <c r="B20" s="7">
        <v>16</v>
      </c>
      <c r="C20" s="8">
        <v>97402.501000000004</v>
      </c>
      <c r="D20" s="8">
        <v>105.77500000000001</v>
      </c>
      <c r="E20" s="9">
        <v>1.0859999999999999E-3</v>
      </c>
      <c r="F20" s="9">
        <v>0.99891399999999997</v>
      </c>
      <c r="G20" s="10">
        <f t="shared" si="0"/>
        <v>1.0859999999999999</v>
      </c>
      <c r="H20" s="11">
        <f t="shared" si="1"/>
        <v>-6.825254057470393</v>
      </c>
      <c r="I20" s="11">
        <f t="shared" si="2"/>
        <v>-2.9641701747471716</v>
      </c>
      <c r="J20" s="9">
        <f t="shared" si="3"/>
        <v>0.98553736315251284</v>
      </c>
      <c r="K20" s="9">
        <f t="shared" si="4"/>
        <v>0.95605117983572097</v>
      </c>
    </row>
    <row r="21" spans="2:11" ht="15.75" customHeight="1" x14ac:dyDescent="0.3">
      <c r="B21" s="12">
        <v>17</v>
      </c>
      <c r="C21" s="13">
        <v>97296.725999999995</v>
      </c>
      <c r="D21" s="13">
        <v>159.36500000000001</v>
      </c>
      <c r="E21" s="14">
        <v>1.6379000000000001E-3</v>
      </c>
      <c r="F21" s="14">
        <v>0.99836210000000003</v>
      </c>
      <c r="G21" s="15">
        <f t="shared" si="0"/>
        <v>1.6379000000000001</v>
      </c>
      <c r="H21" s="16">
        <f t="shared" si="1"/>
        <v>-6.4143403454759405</v>
      </c>
      <c r="I21" s="16">
        <f t="shared" si="2"/>
        <v>-2.7857126170895987</v>
      </c>
      <c r="J21" s="14">
        <f t="shared" si="3"/>
        <v>0.98092515466553321</v>
      </c>
      <c r="K21" s="14">
        <f t="shared" si="4"/>
        <v>0.95079268134880512</v>
      </c>
    </row>
    <row r="22" spans="2:11" ht="15.75" customHeight="1" x14ac:dyDescent="0.3">
      <c r="B22" s="7">
        <v>18</v>
      </c>
      <c r="C22" s="8">
        <v>97137.361000000004</v>
      </c>
      <c r="D22" s="8">
        <v>239.97200000000001</v>
      </c>
      <c r="E22" s="9">
        <v>2.4704000000000002E-3</v>
      </c>
      <c r="F22" s="9">
        <v>0.99752960000000002</v>
      </c>
      <c r="G22" s="10">
        <f t="shared" si="0"/>
        <v>2.4704000000000002</v>
      </c>
      <c r="H22" s="11">
        <f t="shared" si="1"/>
        <v>-6.003375198133817</v>
      </c>
      <c r="I22" s="11">
        <f t="shared" si="2"/>
        <v>-2.6072327213443578</v>
      </c>
      <c r="J22" s="9">
        <f t="shared" si="3"/>
        <v>0.9767325468106961</v>
      </c>
      <c r="K22" s="9">
        <f t="shared" si="4"/>
        <v>0.94586890207980834</v>
      </c>
    </row>
    <row r="23" spans="2:11" ht="15.75" customHeight="1" x14ac:dyDescent="0.3">
      <c r="B23" s="12">
        <v>19</v>
      </c>
      <c r="C23" s="13">
        <v>96897.388999999996</v>
      </c>
      <c r="D23" s="13">
        <v>361.05</v>
      </c>
      <c r="E23" s="14">
        <v>3.7261E-3</v>
      </c>
      <c r="F23" s="14">
        <v>0.99627390000000005</v>
      </c>
      <c r="G23" s="15">
        <f t="shared" si="0"/>
        <v>3.7261000000000002</v>
      </c>
      <c r="H23" s="16">
        <f t="shared" si="1"/>
        <v>-5.5923931687302488</v>
      </c>
      <c r="I23" s="16">
        <f t="shared" si="2"/>
        <v>-2.428745493812988</v>
      </c>
      <c r="J23" s="14">
        <f t="shared" si="3"/>
        <v>0.97322470680814743</v>
      </c>
      <c r="K23" s="14">
        <f t="shared" si="4"/>
        <v>0.94153240806106764</v>
      </c>
    </row>
    <row r="24" spans="2:11" ht="15.75" customHeight="1" x14ac:dyDescent="0.3">
      <c r="B24" s="7">
        <v>20</v>
      </c>
      <c r="C24" s="8">
        <v>96536.338000000003</v>
      </c>
      <c r="D24" s="8">
        <v>542.53399999999999</v>
      </c>
      <c r="E24" s="9">
        <v>5.62E-3</v>
      </c>
      <c r="F24" s="9">
        <v>0.99438000000000004</v>
      </c>
      <c r="G24" s="10">
        <f t="shared" si="0"/>
        <v>5.62</v>
      </c>
      <c r="H24" s="11">
        <f t="shared" si="1"/>
        <v>-5.1814236150765369</v>
      </c>
      <c r="I24" s="11">
        <f t="shared" si="2"/>
        <v>-2.2502636844309385</v>
      </c>
      <c r="J24" s="9">
        <f t="shared" si="3"/>
        <v>0.97080357450476318</v>
      </c>
      <c r="K24" s="9">
        <f t="shared" si="4"/>
        <v>0.93816655858646725</v>
      </c>
    </row>
    <row r="25" spans="2:11" ht="15.75" customHeight="1" x14ac:dyDescent="0.3">
      <c r="B25" s="12">
        <v>21</v>
      </c>
      <c r="C25" s="13">
        <v>95993.804000000004</v>
      </c>
      <c r="D25" s="13">
        <v>552.99800000000005</v>
      </c>
      <c r="E25" s="14">
        <v>5.7607999999999999E-3</v>
      </c>
      <c r="F25" s="14">
        <v>0.99423919999999999</v>
      </c>
      <c r="G25" s="15">
        <f t="shared" si="0"/>
        <v>5.7607999999999997</v>
      </c>
      <c r="H25" s="16">
        <f t="shared" si="1"/>
        <v>-5.1566789250296168</v>
      </c>
      <c r="I25" s="16">
        <f t="shared" si="2"/>
        <v>-2.2395172020871548</v>
      </c>
      <c r="J25" s="14">
        <f t="shared" si="3"/>
        <v>0.97008111065168323</v>
      </c>
      <c r="K25" s="14">
        <f t="shared" si="4"/>
        <v>0.93635509016811125</v>
      </c>
    </row>
    <row r="26" spans="2:11" ht="15.75" customHeight="1" x14ac:dyDescent="0.3">
      <c r="B26" s="7">
        <v>22</v>
      </c>
      <c r="C26" s="8">
        <v>95440.805999999997</v>
      </c>
      <c r="D26" s="8">
        <v>563.58399999999995</v>
      </c>
      <c r="E26" s="9">
        <v>5.9050999999999999E-3</v>
      </c>
      <c r="F26" s="9">
        <v>0.9940949</v>
      </c>
      <c r="G26" s="10">
        <f t="shared" si="0"/>
        <v>5.9051</v>
      </c>
      <c r="H26" s="11">
        <f t="shared" si="1"/>
        <v>-5.1319388946751872</v>
      </c>
      <c r="I26" s="11">
        <f t="shared" si="2"/>
        <v>-2.2287727434221072</v>
      </c>
      <c r="J26" s="9">
        <f t="shared" si="3"/>
        <v>0.96928157752565502</v>
      </c>
      <c r="K26" s="9">
        <f t="shared" si="4"/>
        <v>0.93433733156025522</v>
      </c>
    </row>
    <row r="27" spans="2:11" ht="15.75" customHeight="1" x14ac:dyDescent="0.3">
      <c r="B27" s="12">
        <v>23</v>
      </c>
      <c r="C27" s="13">
        <v>94877.221999999994</v>
      </c>
      <c r="D27" s="13">
        <v>574.28899999999999</v>
      </c>
      <c r="E27" s="14">
        <v>6.0530000000000002E-3</v>
      </c>
      <c r="F27" s="14">
        <v>0.99394700000000002</v>
      </c>
      <c r="G27" s="15">
        <f t="shared" si="0"/>
        <v>6.0529999999999999</v>
      </c>
      <c r="H27" s="16">
        <f t="shared" si="1"/>
        <v>-5.1072012620725866</v>
      </c>
      <c r="I27" s="16">
        <f t="shared" si="2"/>
        <v>-2.2180293260874477</v>
      </c>
      <c r="J27" s="14">
        <f t="shared" si="3"/>
        <v>0.9684011300415184</v>
      </c>
      <c r="K27" s="14">
        <f t="shared" si="4"/>
        <v>0.93210135305184216</v>
      </c>
    </row>
    <row r="28" spans="2:11" ht="15.75" customHeight="1" x14ac:dyDescent="0.3">
      <c r="B28" s="7">
        <v>24</v>
      </c>
      <c r="C28" s="8">
        <v>94302.933000000005</v>
      </c>
      <c r="D28" s="8">
        <v>585.11099999999999</v>
      </c>
      <c r="E28" s="9">
        <v>6.2046000000000002E-3</v>
      </c>
      <c r="F28" s="9">
        <v>0.9937954</v>
      </c>
      <c r="G28" s="10">
        <f t="shared" si="0"/>
        <v>6.2046000000000001</v>
      </c>
      <c r="H28" s="11">
        <f t="shared" si="1"/>
        <v>-5.0824643265452893</v>
      </c>
      <c r="I28" s="11">
        <f t="shared" si="2"/>
        <v>-2.2072862114887459</v>
      </c>
      <c r="J28" s="9">
        <f t="shared" si="3"/>
        <v>0.96743578484457105</v>
      </c>
      <c r="K28" s="9">
        <f t="shared" si="4"/>
        <v>0.92963482906729944</v>
      </c>
    </row>
    <row r="29" spans="2:11" ht="15.75" customHeight="1" x14ac:dyDescent="0.3">
      <c r="B29" s="12">
        <v>25</v>
      </c>
      <c r="C29" s="13">
        <v>93717.822</v>
      </c>
      <c r="D29" s="13">
        <v>596.04499999999996</v>
      </c>
      <c r="E29" s="14">
        <v>6.3600000000000002E-3</v>
      </c>
      <c r="F29" s="14">
        <v>0.99363999999999997</v>
      </c>
      <c r="G29" s="15">
        <f t="shared" si="0"/>
        <v>6.36</v>
      </c>
      <c r="H29" s="16">
        <f t="shared" si="1"/>
        <v>-5.0577269016301063</v>
      </c>
      <c r="I29" s="16">
        <f t="shared" si="2"/>
        <v>-2.1965428843515857</v>
      </c>
      <c r="J29" s="14">
        <f t="shared" si="3"/>
        <v>0.96638144236856038</v>
      </c>
      <c r="K29" s="14">
        <f t="shared" si="4"/>
        <v>0.92692494496937838</v>
      </c>
    </row>
    <row r="30" spans="2:11" ht="15.75" customHeight="1" x14ac:dyDescent="0.3">
      <c r="B30" s="7">
        <v>26</v>
      </c>
      <c r="C30" s="8">
        <v>93121.775999999998</v>
      </c>
      <c r="D30" s="8">
        <v>612.76099999999997</v>
      </c>
      <c r="E30" s="9">
        <v>6.5801999999999996E-3</v>
      </c>
      <c r="F30" s="9">
        <v>0.99341979999999996</v>
      </c>
      <c r="G30" s="10">
        <f t="shared" si="0"/>
        <v>6.5801999999999996</v>
      </c>
      <c r="H30" s="11">
        <f t="shared" si="1"/>
        <v>-5.0236901389700561</v>
      </c>
      <c r="I30" s="11">
        <f t="shared" si="2"/>
        <v>-2.1817609061464753</v>
      </c>
      <c r="J30" s="9">
        <f t="shared" si="3"/>
        <v>0.96523381383963291</v>
      </c>
      <c r="K30" s="9">
        <f t="shared" si="4"/>
        <v>0.92395846273378646</v>
      </c>
    </row>
    <row r="31" spans="2:11" ht="15.75" customHeight="1" x14ac:dyDescent="0.3">
      <c r="B31" s="12">
        <v>27</v>
      </c>
      <c r="C31" s="13">
        <v>92509.014999999999</v>
      </c>
      <c r="D31" s="13">
        <v>629.80600000000004</v>
      </c>
      <c r="E31" s="14">
        <v>6.8081000000000001E-3</v>
      </c>
      <c r="F31" s="14">
        <v>0.99319190000000002</v>
      </c>
      <c r="G31" s="15">
        <f t="shared" si="0"/>
        <v>6.8081000000000005</v>
      </c>
      <c r="H31" s="16">
        <f t="shared" si="1"/>
        <v>-4.989642199217295</v>
      </c>
      <c r="I31" s="16">
        <f t="shared" si="2"/>
        <v>-2.1669740737916769</v>
      </c>
      <c r="J31" s="14">
        <f t="shared" si="3"/>
        <v>0.96394830276811394</v>
      </c>
      <c r="K31" s="14">
        <f t="shared" si="4"/>
        <v>0.92068753515535751</v>
      </c>
    </row>
    <row r="32" spans="2:11" ht="15.75" customHeight="1" x14ac:dyDescent="0.3">
      <c r="B32" s="7">
        <v>28</v>
      </c>
      <c r="C32" s="8">
        <v>91879.209000000003</v>
      </c>
      <c r="D32" s="8">
        <v>647.17700000000002</v>
      </c>
      <c r="E32" s="9">
        <v>7.0438000000000002E-3</v>
      </c>
      <c r="F32" s="9">
        <v>0.99295619999999996</v>
      </c>
      <c r="G32" s="10">
        <f t="shared" si="0"/>
        <v>7.0438000000000001</v>
      </c>
      <c r="H32" s="11">
        <f t="shared" si="1"/>
        <v>-4.9556074817098112</v>
      </c>
      <c r="I32" s="11">
        <f t="shared" si="2"/>
        <v>-2.1521929837850409</v>
      </c>
      <c r="J32" s="9">
        <f t="shared" si="3"/>
        <v>0.96251576349552603</v>
      </c>
      <c r="K32" s="9">
        <f t="shared" si="4"/>
        <v>0.91709212472649815</v>
      </c>
    </row>
    <row r="33" spans="2:11" ht="15.75" customHeight="1" x14ac:dyDescent="0.3">
      <c r="B33" s="12">
        <v>29</v>
      </c>
      <c r="C33" s="13">
        <v>91232.032000000007</v>
      </c>
      <c r="D33" s="13">
        <v>664.86900000000003</v>
      </c>
      <c r="E33" s="14">
        <v>7.2877000000000003E-3</v>
      </c>
      <c r="F33" s="14">
        <v>0.99271229999999999</v>
      </c>
      <c r="G33" s="15">
        <f t="shared" si="0"/>
        <v>7.2877000000000001</v>
      </c>
      <c r="H33" s="16">
        <f t="shared" si="1"/>
        <v>-4.9215672834282538</v>
      </c>
      <c r="I33" s="16">
        <f t="shared" si="2"/>
        <v>-2.1374095135084676</v>
      </c>
      <c r="J33" s="14">
        <f t="shared" si="3"/>
        <v>0.96092665128844212</v>
      </c>
      <c r="K33" s="14">
        <f t="shared" si="4"/>
        <v>0.91315131509950354</v>
      </c>
    </row>
    <row r="34" spans="2:11" ht="15.75" customHeight="1" x14ac:dyDescent="0.3">
      <c r="B34" s="7">
        <v>30</v>
      </c>
      <c r="C34" s="8">
        <v>90567.164000000004</v>
      </c>
      <c r="D34" s="8">
        <v>682.87599999999998</v>
      </c>
      <c r="E34" s="9">
        <v>7.5399999999999998E-3</v>
      </c>
      <c r="F34" s="9">
        <v>0.99246000000000001</v>
      </c>
      <c r="G34" s="10">
        <f t="shared" si="0"/>
        <v>7.54</v>
      </c>
      <c r="H34" s="11">
        <f t="shared" si="1"/>
        <v>-4.8875330969622723</v>
      </c>
      <c r="I34" s="11">
        <f t="shared" si="2"/>
        <v>-2.1226286541302257</v>
      </c>
      <c r="J34" s="9">
        <f t="shared" si="3"/>
        <v>0.95917088670238149</v>
      </c>
      <c r="K34" s="9">
        <f t="shared" si="4"/>
        <v>0.90884329777622275</v>
      </c>
    </row>
    <row r="35" spans="2:11" ht="15.75" customHeight="1" x14ac:dyDescent="0.3">
      <c r="B35" s="12">
        <v>31</v>
      </c>
      <c r="C35" s="13">
        <v>89884.286999999997</v>
      </c>
      <c r="D35" s="13">
        <v>710.38</v>
      </c>
      <c r="E35" s="14">
        <v>7.9033000000000003E-3</v>
      </c>
      <c r="F35" s="14">
        <v>0.99209670000000005</v>
      </c>
      <c r="G35" s="15">
        <f t="shared" si="0"/>
        <v>7.9033000000000007</v>
      </c>
      <c r="H35" s="16">
        <f t="shared" si="1"/>
        <v>-4.8404748852115187</v>
      </c>
      <c r="I35" s="16">
        <f t="shared" si="2"/>
        <v>-2.1021915324386389</v>
      </c>
      <c r="J35" s="14">
        <f t="shared" si="3"/>
        <v>0.95723797642184116</v>
      </c>
      <c r="K35" s="14">
        <f t="shared" si="4"/>
        <v>0.90414552657017788</v>
      </c>
    </row>
    <row r="36" spans="2:11" ht="15.75" customHeight="1" x14ac:dyDescent="0.3">
      <c r="B36" s="7">
        <v>32</v>
      </c>
      <c r="C36" s="8">
        <v>89173.907999999996</v>
      </c>
      <c r="D36" s="8">
        <v>738.72</v>
      </c>
      <c r="E36" s="9">
        <v>8.2839999999999997E-3</v>
      </c>
      <c r="F36" s="9">
        <v>0.99171600000000004</v>
      </c>
      <c r="G36" s="10">
        <f t="shared" ref="G36:G67" si="5">E36*1000</f>
        <v>8.2839999999999989</v>
      </c>
      <c r="H36" s="11">
        <f t="shared" ref="H36:H67" si="6">LN(E36)</f>
        <v>-4.7934293354487991</v>
      </c>
      <c r="I36" s="11">
        <f t="shared" ref="I36:I67" si="7">LOG(E36,10)</f>
        <v>-2.0817599097785848</v>
      </c>
      <c r="J36" s="9">
        <f t="shared" ref="J36:J67" si="8">C41/C36</f>
        <v>0.95512127830037463</v>
      </c>
      <c r="K36" s="9">
        <f t="shared" ref="K36:K67" si="9">C46/C36</f>
        <v>0.89901686264551728</v>
      </c>
    </row>
    <row r="37" spans="2:11" ht="15.75" customHeight="1" x14ac:dyDescent="0.3">
      <c r="B37" s="12">
        <v>33</v>
      </c>
      <c r="C37" s="13">
        <v>88435.187000000005</v>
      </c>
      <c r="D37" s="13">
        <v>767.89599999999996</v>
      </c>
      <c r="E37" s="14">
        <v>8.6832000000000003E-3</v>
      </c>
      <c r="F37" s="14">
        <v>0.9913168</v>
      </c>
      <c r="G37" s="15">
        <f t="shared" si="5"/>
        <v>8.6832000000000011</v>
      </c>
      <c r="H37" s="16">
        <f t="shared" si="6"/>
        <v>-4.746365154655134</v>
      </c>
      <c r="I37" s="16">
        <f t="shared" si="7"/>
        <v>-2.061320195764599</v>
      </c>
      <c r="J37" s="14">
        <f t="shared" si="8"/>
        <v>0.95280738197568338</v>
      </c>
      <c r="K37" s="14">
        <f t="shared" si="9"/>
        <v>0.89342717169807084</v>
      </c>
    </row>
    <row r="38" spans="2:11" ht="15.75" customHeight="1" x14ac:dyDescent="0.3">
      <c r="B38" s="7">
        <v>34</v>
      </c>
      <c r="C38" s="8">
        <v>87667.290999999997</v>
      </c>
      <c r="D38" s="8">
        <v>797.904</v>
      </c>
      <c r="E38" s="9">
        <v>9.1015000000000002E-3</v>
      </c>
      <c r="F38" s="9">
        <v>0.99089850000000002</v>
      </c>
      <c r="G38" s="10">
        <f t="shared" si="5"/>
        <v>9.1014999999999997</v>
      </c>
      <c r="H38" s="11">
        <f t="shared" si="6"/>
        <v>-4.699316043878321</v>
      </c>
      <c r="I38" s="11">
        <f t="shared" si="7"/>
        <v>-2.0408870265757741</v>
      </c>
      <c r="J38" s="9">
        <f t="shared" si="8"/>
        <v>0.95028201567218495</v>
      </c>
      <c r="K38" s="9">
        <f t="shared" si="9"/>
        <v>0.88734487073405743</v>
      </c>
    </row>
    <row r="39" spans="2:11" ht="15.75" customHeight="1" x14ac:dyDescent="0.3">
      <c r="B39" s="12">
        <v>35</v>
      </c>
      <c r="C39" s="13">
        <v>86869.387000000002</v>
      </c>
      <c r="D39" s="13">
        <v>828.73400000000004</v>
      </c>
      <c r="E39" s="14">
        <v>9.5399999999999999E-3</v>
      </c>
      <c r="F39" s="14">
        <v>0.99046000000000001</v>
      </c>
      <c r="G39" s="15">
        <f t="shared" si="5"/>
        <v>9.5399999999999991</v>
      </c>
      <c r="H39" s="16">
        <f t="shared" si="6"/>
        <v>-4.6522617935219417</v>
      </c>
      <c r="I39" s="16">
        <f t="shared" si="7"/>
        <v>-2.0204516252959044</v>
      </c>
      <c r="J39" s="14">
        <f t="shared" si="8"/>
        <v>0.94753011207503968</v>
      </c>
      <c r="K39" s="14">
        <f t="shared" si="9"/>
        <v>0.88073718075160357</v>
      </c>
    </row>
    <row r="40" spans="2:11" ht="15.75" customHeight="1" x14ac:dyDescent="0.3">
      <c r="B40" s="7">
        <v>36</v>
      </c>
      <c r="C40" s="8">
        <v>86040.653000000006</v>
      </c>
      <c r="D40" s="8">
        <v>868.75599999999997</v>
      </c>
      <c r="E40" s="9">
        <v>1.0097E-2</v>
      </c>
      <c r="F40" s="9">
        <v>0.98990299999999998</v>
      </c>
      <c r="G40" s="10">
        <f t="shared" si="5"/>
        <v>10.097</v>
      </c>
      <c r="H40" s="11">
        <f t="shared" si="6"/>
        <v>-4.5955169289599533</v>
      </c>
      <c r="I40" s="11">
        <f t="shared" si="7"/>
        <v>-1.9958076437402856</v>
      </c>
      <c r="J40" s="9">
        <f t="shared" si="8"/>
        <v>0.94453578821629802</v>
      </c>
      <c r="K40" s="9">
        <f t="shared" si="9"/>
        <v>0.87357006693103545</v>
      </c>
    </row>
    <row r="41" spans="2:11" ht="15.75" customHeight="1" x14ac:dyDescent="0.3">
      <c r="B41" s="12">
        <v>37</v>
      </c>
      <c r="C41" s="13">
        <v>85171.896999999997</v>
      </c>
      <c r="D41" s="13">
        <v>910.19799999999998</v>
      </c>
      <c r="E41" s="14">
        <v>1.0686599999999999E-2</v>
      </c>
      <c r="F41" s="14">
        <v>0.98931340000000001</v>
      </c>
      <c r="G41" s="15">
        <f t="shared" si="5"/>
        <v>10.686599999999999</v>
      </c>
      <c r="H41" s="16">
        <f t="shared" si="6"/>
        <v>-4.5387646587914796</v>
      </c>
      <c r="I41" s="16">
        <f t="shared" si="7"/>
        <v>-1.9711604459706351</v>
      </c>
      <c r="J41" s="14">
        <f t="shared" si="8"/>
        <v>0.94125938042685597</v>
      </c>
      <c r="K41" s="14">
        <f t="shared" si="9"/>
        <v>0.86583009886465256</v>
      </c>
    </row>
    <row r="42" spans="2:11" ht="15.75" customHeight="1" x14ac:dyDescent="0.3">
      <c r="B42" s="7">
        <v>38</v>
      </c>
      <c r="C42" s="8">
        <v>84261.698999999993</v>
      </c>
      <c r="D42" s="8">
        <v>953.05</v>
      </c>
      <c r="E42" s="9">
        <v>1.1310600000000001E-2</v>
      </c>
      <c r="F42" s="9">
        <v>0.98868940000000005</v>
      </c>
      <c r="G42" s="10">
        <f t="shared" si="5"/>
        <v>11.310600000000001</v>
      </c>
      <c r="H42" s="11">
        <f t="shared" si="6"/>
        <v>-4.4820149398633529</v>
      </c>
      <c r="I42" s="11">
        <f t="shared" si="7"/>
        <v>-1.9465143561905891</v>
      </c>
      <c r="J42" s="9">
        <f t="shared" si="8"/>
        <v>0.93767868364486706</v>
      </c>
      <c r="K42" s="9">
        <f t="shared" si="9"/>
        <v>0.85748070425211831</v>
      </c>
    </row>
    <row r="43" spans="2:11" ht="15.75" customHeight="1" x14ac:dyDescent="0.3">
      <c r="B43" s="12">
        <v>39</v>
      </c>
      <c r="C43" s="13">
        <v>83308.649999999994</v>
      </c>
      <c r="D43" s="13">
        <v>997.28899999999999</v>
      </c>
      <c r="E43" s="14">
        <v>1.1971000000000001E-2</v>
      </c>
      <c r="F43" s="14">
        <v>0.98802900000000005</v>
      </c>
      <c r="G43" s="15">
        <f t="shared" si="5"/>
        <v>11.971</v>
      </c>
      <c r="H43" s="16">
        <f t="shared" si="6"/>
        <v>-4.4252682207129039</v>
      </c>
      <c r="I43" s="16">
        <f t="shared" si="7"/>
        <v>-1.9218695691974355</v>
      </c>
      <c r="J43" s="14">
        <f t="shared" si="8"/>
        <v>0.93377003468427355</v>
      </c>
      <c r="K43" s="14">
        <f t="shared" si="9"/>
        <v>0.84848417301204615</v>
      </c>
    </row>
    <row r="44" spans="2:11" ht="15.75" customHeight="1" x14ac:dyDescent="0.3">
      <c r="B44" s="7">
        <v>40</v>
      </c>
      <c r="C44" s="8">
        <v>82311.360000000001</v>
      </c>
      <c r="D44" s="8">
        <v>1042.885</v>
      </c>
      <c r="E44" s="9">
        <v>1.2670000000000001E-2</v>
      </c>
      <c r="F44" s="9">
        <v>0.98733000000000004</v>
      </c>
      <c r="G44" s="10">
        <f t="shared" si="5"/>
        <v>12.67</v>
      </c>
      <c r="H44" s="11">
        <f t="shared" si="6"/>
        <v>-4.3685182846490891</v>
      </c>
      <c r="I44" s="11">
        <f t="shared" si="7"/>
        <v>-1.8972233851165583</v>
      </c>
      <c r="J44" s="9">
        <f t="shared" si="8"/>
        <v>0.92950838134614711</v>
      </c>
      <c r="K44" s="9">
        <f t="shared" si="9"/>
        <v>0.83880195880617203</v>
      </c>
    </row>
    <row r="45" spans="2:11" ht="15.75" customHeight="1" x14ac:dyDescent="0.3">
      <c r="B45" s="12">
        <v>41</v>
      </c>
      <c r="C45" s="13">
        <v>81268.475999999995</v>
      </c>
      <c r="D45" s="13">
        <v>1099.6279999999999</v>
      </c>
      <c r="E45" s="14">
        <v>1.3530800000000001E-2</v>
      </c>
      <c r="F45" s="14">
        <v>0.98646920000000005</v>
      </c>
      <c r="G45" s="15">
        <f t="shared" si="5"/>
        <v>13.530800000000001</v>
      </c>
      <c r="H45" s="16">
        <f t="shared" si="6"/>
        <v>-4.3027867106834172</v>
      </c>
      <c r="I45" s="16">
        <f t="shared" si="7"/>
        <v>-1.8686765252564517</v>
      </c>
      <c r="J45" s="14">
        <f t="shared" si="8"/>
        <v>0.92486709114614141</v>
      </c>
      <c r="K45" s="14">
        <f t="shared" si="9"/>
        <v>0.82839476404110257</v>
      </c>
    </row>
    <row r="46" spans="2:11" ht="15.75" customHeight="1" x14ac:dyDescent="0.3">
      <c r="B46" s="7">
        <v>42</v>
      </c>
      <c r="C46" s="8">
        <v>80168.846999999994</v>
      </c>
      <c r="D46" s="8">
        <v>1158.4480000000001</v>
      </c>
      <c r="E46" s="9">
        <v>1.44501E-2</v>
      </c>
      <c r="F46" s="9">
        <v>0.98554989999999998</v>
      </c>
      <c r="G46" s="10">
        <f t="shared" si="5"/>
        <v>14.450100000000001</v>
      </c>
      <c r="H46" s="11">
        <f t="shared" si="6"/>
        <v>-4.2370539440324171</v>
      </c>
      <c r="I46" s="11">
        <f t="shared" si="7"/>
        <v>-1.8401291474196881</v>
      </c>
      <c r="J46" s="9">
        <f t="shared" si="8"/>
        <v>0.91986344770556583</v>
      </c>
      <c r="K46" s="9">
        <f t="shared" si="9"/>
        <v>0.81724427195516491</v>
      </c>
    </row>
    <row r="47" spans="2:11" ht="15.75" customHeight="1" x14ac:dyDescent="0.3">
      <c r="B47" s="12">
        <v>43</v>
      </c>
      <c r="C47" s="13">
        <v>79010.399000000005</v>
      </c>
      <c r="D47" s="13">
        <v>1219.277</v>
      </c>
      <c r="E47" s="14">
        <v>1.54319E-2</v>
      </c>
      <c r="F47" s="14">
        <v>0.98456809999999995</v>
      </c>
      <c r="G47" s="15">
        <f t="shared" si="5"/>
        <v>15.431900000000001</v>
      </c>
      <c r="H47" s="16">
        <f t="shared" si="6"/>
        <v>-4.1713184834411772</v>
      </c>
      <c r="I47" s="16">
        <f t="shared" si="7"/>
        <v>-1.811580599619544</v>
      </c>
      <c r="J47" s="14">
        <f t="shared" si="8"/>
        <v>0.9144717899728616</v>
      </c>
      <c r="K47" s="14">
        <f t="shared" si="9"/>
        <v>0.80531070346828637</v>
      </c>
    </row>
    <row r="48" spans="2:11" ht="15.75" customHeight="1" x14ac:dyDescent="0.3">
      <c r="B48" s="7">
        <v>44</v>
      </c>
      <c r="C48" s="8">
        <v>77791.120999999999</v>
      </c>
      <c r="D48" s="8">
        <v>1282.0219999999999</v>
      </c>
      <c r="E48" s="9">
        <v>1.64803E-2</v>
      </c>
      <c r="F48" s="9">
        <v>0.9835197</v>
      </c>
      <c r="G48" s="10">
        <f t="shared" si="5"/>
        <v>16.4803</v>
      </c>
      <c r="H48" s="11">
        <f t="shared" si="6"/>
        <v>-4.1055895507830051</v>
      </c>
      <c r="I48" s="11">
        <f t="shared" si="7"/>
        <v>-1.7830348868647095</v>
      </c>
      <c r="J48" s="9">
        <f t="shared" si="8"/>
        <v>0.90866502617953016</v>
      </c>
      <c r="K48" s="9">
        <f t="shared" si="9"/>
        <v>0.79255442275989318</v>
      </c>
    </row>
    <row r="49" spans="2:11" ht="15.75" customHeight="1" x14ac:dyDescent="0.3">
      <c r="B49" s="12">
        <v>45</v>
      </c>
      <c r="C49" s="13">
        <v>76509.099000000002</v>
      </c>
      <c r="D49" s="13">
        <v>1346.56</v>
      </c>
      <c r="E49" s="14">
        <v>1.7600000000000001E-2</v>
      </c>
      <c r="F49" s="14">
        <v>0.98240000000000005</v>
      </c>
      <c r="G49" s="15">
        <f t="shared" si="5"/>
        <v>17.600000000000001</v>
      </c>
      <c r="H49" s="16">
        <f t="shared" si="6"/>
        <v>-4.0398563769380305</v>
      </c>
      <c r="I49" s="16">
        <f t="shared" si="7"/>
        <v>-1.7544873321858498</v>
      </c>
      <c r="J49" s="14">
        <f t="shared" si="8"/>
        <v>0.90241462652697024</v>
      </c>
      <c r="K49" s="14">
        <f t="shared" si="9"/>
        <v>0.77893633278833929</v>
      </c>
    </row>
    <row r="50" spans="2:11" ht="15.75" customHeight="1" x14ac:dyDescent="0.3">
      <c r="B50" s="7">
        <v>46</v>
      </c>
      <c r="C50" s="8">
        <v>75162.539000000004</v>
      </c>
      <c r="D50" s="8">
        <v>1418.1469999999999</v>
      </c>
      <c r="E50" s="9">
        <v>1.8867700000000001E-2</v>
      </c>
      <c r="F50" s="9">
        <v>0.98113229999999996</v>
      </c>
      <c r="G50" s="10">
        <f t="shared" si="5"/>
        <v>18.867700000000003</v>
      </c>
      <c r="H50" s="11">
        <f t="shared" si="6"/>
        <v>-3.9703038136229272</v>
      </c>
      <c r="I50" s="11">
        <f t="shared" si="7"/>
        <v>-1.7242810377358739</v>
      </c>
      <c r="J50" s="9">
        <f t="shared" si="8"/>
        <v>0.89569060459759087</v>
      </c>
      <c r="K50" s="9">
        <f t="shared" si="9"/>
        <v>0.76441849576156551</v>
      </c>
    </row>
    <row r="51" spans="2:11" ht="15.75" customHeight="1" x14ac:dyDescent="0.3">
      <c r="B51" s="12">
        <v>47</v>
      </c>
      <c r="C51" s="13">
        <v>73744.392000000007</v>
      </c>
      <c r="D51" s="13">
        <v>1491.6120000000001</v>
      </c>
      <c r="E51" s="14">
        <v>2.02268E-2</v>
      </c>
      <c r="F51" s="14">
        <v>0.97977320000000001</v>
      </c>
      <c r="G51" s="15">
        <f t="shared" si="5"/>
        <v>20.226800000000001</v>
      </c>
      <c r="H51" s="16">
        <f t="shared" si="6"/>
        <v>-3.9007468212338305</v>
      </c>
      <c r="I51" s="16">
        <f t="shared" si="7"/>
        <v>-1.6940728197635027</v>
      </c>
      <c r="J51" s="14">
        <f t="shared" si="8"/>
        <v>0.88844085934019223</v>
      </c>
      <c r="K51" s="14">
        <f t="shared" si="9"/>
        <v>0.74885702495180917</v>
      </c>
    </row>
    <row r="52" spans="2:11" ht="15.75" customHeight="1" x14ac:dyDescent="0.3">
      <c r="B52" s="7">
        <v>48</v>
      </c>
      <c r="C52" s="8">
        <v>72252.781000000003</v>
      </c>
      <c r="D52" s="8">
        <v>1566.7090000000001</v>
      </c>
      <c r="E52" s="9">
        <v>2.16837E-2</v>
      </c>
      <c r="F52" s="9">
        <v>0.97831630000000003</v>
      </c>
      <c r="G52" s="10">
        <f t="shared" si="5"/>
        <v>21.683700000000002</v>
      </c>
      <c r="H52" s="11">
        <f t="shared" si="6"/>
        <v>-3.8311944527655286</v>
      </c>
      <c r="I52" s="11">
        <f t="shared" si="7"/>
        <v>-1.6638666099344175</v>
      </c>
      <c r="J52" s="9">
        <f t="shared" si="8"/>
        <v>0.8806293559828513</v>
      </c>
      <c r="K52" s="9">
        <f t="shared" si="9"/>
        <v>0.73220695823459025</v>
      </c>
    </row>
    <row r="53" spans="2:11" ht="15.75" customHeight="1" x14ac:dyDescent="0.3">
      <c r="B53" s="12">
        <v>49</v>
      </c>
      <c r="C53" s="13">
        <v>70686.070999999996</v>
      </c>
      <c r="D53" s="13">
        <v>1643.1410000000001</v>
      </c>
      <c r="E53" s="14">
        <v>2.3245600000000002E-2</v>
      </c>
      <c r="F53" s="14">
        <v>0.97675440000000002</v>
      </c>
      <c r="G53" s="15">
        <f t="shared" si="5"/>
        <v>23.245600000000003</v>
      </c>
      <c r="H53" s="16">
        <f t="shared" si="6"/>
        <v>-3.7616394121701315</v>
      </c>
      <c r="I53" s="16">
        <f t="shared" si="7"/>
        <v>-1.6336592396152798</v>
      </c>
      <c r="J53" s="14">
        <f t="shared" si="8"/>
        <v>0.87221847427338273</v>
      </c>
      <c r="K53" s="14">
        <f t="shared" si="9"/>
        <v>0.71442701915063289</v>
      </c>
    </row>
    <row r="54" spans="2:11" ht="15.75" customHeight="1" x14ac:dyDescent="0.3">
      <c r="B54" s="7">
        <v>50</v>
      </c>
      <c r="C54" s="8">
        <v>69042.929999999993</v>
      </c>
      <c r="D54" s="8">
        <v>1720.55</v>
      </c>
      <c r="E54" s="9">
        <v>2.4920000000000001E-2</v>
      </c>
      <c r="F54" s="9">
        <v>0.97507999999999995</v>
      </c>
      <c r="G54" s="10">
        <f t="shared" si="5"/>
        <v>24.92</v>
      </c>
      <c r="H54" s="11">
        <f t="shared" si="6"/>
        <v>-3.6920845850628847</v>
      </c>
      <c r="I54" s="11">
        <f t="shared" si="7"/>
        <v>-1.6034519620128678</v>
      </c>
      <c r="J54" s="9">
        <f t="shared" si="8"/>
        <v>0.8631690022425178</v>
      </c>
      <c r="K54" s="9">
        <f t="shared" si="9"/>
        <v>0.69548081172105536</v>
      </c>
    </row>
    <row r="55" spans="2:11" ht="15.75" customHeight="1" x14ac:dyDescent="0.3">
      <c r="B55" s="12">
        <v>51</v>
      </c>
      <c r="C55" s="13">
        <v>67322.38</v>
      </c>
      <c r="D55" s="13">
        <v>1804.8489999999999</v>
      </c>
      <c r="E55" s="14">
        <v>2.6809099999999999E-2</v>
      </c>
      <c r="F55" s="14">
        <v>0.97319089999999997</v>
      </c>
      <c r="G55" s="15">
        <f t="shared" si="5"/>
        <v>26.809099999999997</v>
      </c>
      <c r="H55" s="16">
        <f t="shared" si="6"/>
        <v>-3.6190138968613352</v>
      </c>
      <c r="I55" s="16">
        <f t="shared" si="7"/>
        <v>-1.5717177653380618</v>
      </c>
      <c r="J55" s="14">
        <f t="shared" si="8"/>
        <v>0.85344034182986395</v>
      </c>
      <c r="K55" s="14">
        <f t="shared" si="9"/>
        <v>0.67533848328000279</v>
      </c>
    </row>
    <row r="56" spans="2:11" ht="15.75" customHeight="1" x14ac:dyDescent="0.3">
      <c r="B56" s="7">
        <v>52</v>
      </c>
      <c r="C56" s="8">
        <v>65517.531000000003</v>
      </c>
      <c r="D56" s="8">
        <v>1889.6110000000001</v>
      </c>
      <c r="E56" s="9">
        <v>2.88413E-2</v>
      </c>
      <c r="F56" s="9">
        <v>0.97115870000000004</v>
      </c>
      <c r="G56" s="10">
        <f t="shared" si="5"/>
        <v>28.8413</v>
      </c>
      <c r="H56" s="11">
        <f t="shared" si="6"/>
        <v>-3.5459468912983536</v>
      </c>
      <c r="I56" s="11">
        <f t="shared" si="7"/>
        <v>-1.5399851680128647</v>
      </c>
      <c r="J56" s="9">
        <f t="shared" si="8"/>
        <v>0.84288899714490151</v>
      </c>
      <c r="K56" s="9">
        <f t="shared" si="9"/>
        <v>0.65410221273448166</v>
      </c>
    </row>
    <row r="57" spans="2:11" ht="15.75" customHeight="1" x14ac:dyDescent="0.3">
      <c r="B57" s="12">
        <v>53</v>
      </c>
      <c r="C57" s="13">
        <v>63627.92</v>
      </c>
      <c r="D57" s="13">
        <v>1974.223</v>
      </c>
      <c r="E57" s="14">
        <v>3.1027599999999999E-2</v>
      </c>
      <c r="F57" s="14">
        <v>0.96897239999999996</v>
      </c>
      <c r="G57" s="15">
        <f t="shared" si="5"/>
        <v>31.0276</v>
      </c>
      <c r="H57" s="16">
        <f t="shared" si="6"/>
        <v>-3.4728781480184061</v>
      </c>
      <c r="I57" s="16">
        <f t="shared" si="7"/>
        <v>-1.5082518160067782</v>
      </c>
      <c r="J57" s="14">
        <f t="shared" si="8"/>
        <v>0.83145872126575882</v>
      </c>
      <c r="K57" s="14">
        <f t="shared" si="9"/>
        <v>0.63176701360031884</v>
      </c>
    </row>
    <row r="58" spans="2:11" ht="15.75" customHeight="1" x14ac:dyDescent="0.3">
      <c r="B58" s="7">
        <v>54</v>
      </c>
      <c r="C58" s="8">
        <v>61653.697</v>
      </c>
      <c r="D58" s="8">
        <v>2057.98</v>
      </c>
      <c r="E58" s="9">
        <v>3.3379699999999998E-2</v>
      </c>
      <c r="F58" s="9">
        <v>0.96662029999999999</v>
      </c>
      <c r="G58" s="10">
        <f t="shared" si="5"/>
        <v>33.3797</v>
      </c>
      <c r="H58" s="11">
        <f t="shared" si="6"/>
        <v>-3.3998073482064504</v>
      </c>
      <c r="I58" s="11">
        <f t="shared" si="7"/>
        <v>-1.4765175708601888</v>
      </c>
      <c r="J58" s="9">
        <f t="shared" si="8"/>
        <v>0.81909182185781981</v>
      </c>
      <c r="K58" s="9">
        <f t="shared" si="9"/>
        <v>0.60833829640418802</v>
      </c>
    </row>
    <row r="59" spans="2:11" ht="15.75" customHeight="1" x14ac:dyDescent="0.3">
      <c r="B59" s="12">
        <v>55</v>
      </c>
      <c r="C59" s="13">
        <v>59595.716999999997</v>
      </c>
      <c r="D59" s="13">
        <v>2140.0819999999999</v>
      </c>
      <c r="E59" s="14">
        <v>3.5909999999999997E-2</v>
      </c>
      <c r="F59" s="14">
        <v>0.96409</v>
      </c>
      <c r="G59" s="15">
        <f t="shared" si="5"/>
        <v>35.909999999999997</v>
      </c>
      <c r="H59" s="16">
        <f t="shared" si="6"/>
        <v>-3.3267394707441458</v>
      </c>
      <c r="I59" s="16">
        <f t="shared" si="7"/>
        <v>-1.4447845948739269</v>
      </c>
      <c r="J59" s="14">
        <f t="shared" si="8"/>
        <v>0.8057295963063924</v>
      </c>
      <c r="K59" s="14">
        <f t="shared" si="9"/>
        <v>0.58383353286948469</v>
      </c>
    </row>
    <row r="60" spans="2:11" ht="15.75" customHeight="1" x14ac:dyDescent="0.3">
      <c r="B60" s="7">
        <v>56</v>
      </c>
      <c r="C60" s="8">
        <v>57455.635000000002</v>
      </c>
      <c r="D60" s="8">
        <v>2231.6289999999999</v>
      </c>
      <c r="E60" s="9">
        <v>3.8840899999999998E-2</v>
      </c>
      <c r="F60" s="9">
        <v>0.96115910000000004</v>
      </c>
      <c r="G60" s="10">
        <f t="shared" si="5"/>
        <v>38.840899999999998</v>
      </c>
      <c r="H60" s="11">
        <f t="shared" si="6"/>
        <v>-3.2482814638398376</v>
      </c>
      <c r="I60" s="11">
        <f t="shared" si="7"/>
        <v>-1.4107107154142586</v>
      </c>
      <c r="J60" s="9">
        <f t="shared" si="8"/>
        <v>0.79131305397634188</v>
      </c>
      <c r="K60" s="9">
        <f t="shared" si="9"/>
        <v>0.55828410912175974</v>
      </c>
    </row>
    <row r="61" spans="2:11" ht="15.75" customHeight="1" x14ac:dyDescent="0.3">
      <c r="B61" s="12">
        <v>57</v>
      </c>
      <c r="C61" s="13">
        <v>55224.006000000001</v>
      </c>
      <c r="D61" s="13">
        <v>2320.0169999999998</v>
      </c>
      <c r="E61" s="14">
        <v>4.2011E-2</v>
      </c>
      <c r="F61" s="14">
        <v>0.95798899999999998</v>
      </c>
      <c r="G61" s="15">
        <f t="shared" si="5"/>
        <v>42.011000000000003</v>
      </c>
      <c r="H61" s="16">
        <f t="shared" si="6"/>
        <v>-3.1698237902279289</v>
      </c>
      <c r="I61" s="16">
        <f t="shared" si="7"/>
        <v>-1.3766369807016403</v>
      </c>
      <c r="J61" s="14">
        <f t="shared" si="8"/>
        <v>0.77602414428247013</v>
      </c>
      <c r="K61" s="14">
        <f t="shared" si="9"/>
        <v>0.53205428450808157</v>
      </c>
    </row>
    <row r="62" spans="2:11" ht="15.75" customHeight="1" x14ac:dyDescent="0.3">
      <c r="B62" s="7">
        <v>58</v>
      </c>
      <c r="C62" s="8">
        <v>52903.989000000001</v>
      </c>
      <c r="D62" s="8">
        <v>2403.951</v>
      </c>
      <c r="E62" s="9">
        <v>4.5439899999999998E-2</v>
      </c>
      <c r="F62" s="9">
        <v>0.95456010000000002</v>
      </c>
      <c r="G62" s="10">
        <f t="shared" si="5"/>
        <v>45.439900000000002</v>
      </c>
      <c r="H62" s="11">
        <f t="shared" si="6"/>
        <v>-3.0913647052758879</v>
      </c>
      <c r="I62" s="11">
        <f t="shared" si="7"/>
        <v>-1.3425626330517904</v>
      </c>
      <c r="J62" s="9">
        <f t="shared" si="8"/>
        <v>0.75982967938391188</v>
      </c>
      <c r="K62" s="9">
        <f t="shared" si="9"/>
        <v>0.50521103427569514</v>
      </c>
    </row>
    <row r="63" spans="2:11" ht="15.75" customHeight="1" x14ac:dyDescent="0.3">
      <c r="B63" s="12">
        <v>59</v>
      </c>
      <c r="C63" s="13">
        <v>50500.038999999997</v>
      </c>
      <c r="D63" s="13">
        <v>2482.0059999999999</v>
      </c>
      <c r="E63" s="14">
        <v>4.9148600000000001E-2</v>
      </c>
      <c r="F63" s="14">
        <v>0.95085140000000001</v>
      </c>
      <c r="G63" s="15">
        <f t="shared" si="5"/>
        <v>49.148600000000002</v>
      </c>
      <c r="H63" s="16">
        <f t="shared" si="6"/>
        <v>-3.0129069170265881</v>
      </c>
      <c r="I63" s="16">
        <f t="shared" si="7"/>
        <v>-1.3084888485527857</v>
      </c>
      <c r="J63" s="14">
        <f t="shared" si="8"/>
        <v>0.74269853534172525</v>
      </c>
      <c r="K63" s="14">
        <f t="shared" si="9"/>
        <v>0.47783372998979268</v>
      </c>
    </row>
    <row r="64" spans="2:11" ht="15.75" customHeight="1" x14ac:dyDescent="0.3">
      <c r="B64" s="7">
        <v>60</v>
      </c>
      <c r="C64" s="8">
        <v>48018.033000000003</v>
      </c>
      <c r="D64" s="8">
        <v>2552.6390000000001</v>
      </c>
      <c r="E64" s="9">
        <v>5.3159999999999999E-2</v>
      </c>
      <c r="F64" s="9">
        <v>0.94684000000000001</v>
      </c>
      <c r="G64" s="10">
        <f t="shared" si="5"/>
        <v>53.16</v>
      </c>
      <c r="H64" s="11">
        <f t="shared" si="6"/>
        <v>-2.9344490451370926</v>
      </c>
      <c r="I64" s="11">
        <f t="shared" si="7"/>
        <v>-1.2744150277293056</v>
      </c>
      <c r="J64" s="9">
        <f t="shared" si="8"/>
        <v>0.72460231763346072</v>
      </c>
      <c r="K64" s="9">
        <f t="shared" si="9"/>
        <v>0.45001460180595065</v>
      </c>
    </row>
    <row r="65" spans="2:11" ht="15.75" customHeight="1" x14ac:dyDescent="0.3">
      <c r="B65" s="12">
        <v>61</v>
      </c>
      <c r="C65" s="13">
        <v>45465.394</v>
      </c>
      <c r="D65" s="13">
        <v>2610.232</v>
      </c>
      <c r="E65" s="14">
        <v>5.7411400000000001E-2</v>
      </c>
      <c r="F65" s="14">
        <v>0.9425886</v>
      </c>
      <c r="G65" s="15">
        <f t="shared" si="5"/>
        <v>57.4114</v>
      </c>
      <c r="H65" s="16">
        <f t="shared" si="6"/>
        <v>-2.8575123891044538</v>
      </c>
      <c r="I65" s="16">
        <f t="shared" si="7"/>
        <v>-1.241001862558242</v>
      </c>
      <c r="J65" s="14">
        <f t="shared" si="8"/>
        <v>0.7055161118806097</v>
      </c>
      <c r="K65" s="14">
        <f t="shared" si="9"/>
        <v>0.42185898575958675</v>
      </c>
    </row>
    <row r="66" spans="2:11" ht="15.75" customHeight="1" x14ac:dyDescent="0.3">
      <c r="B66" s="7">
        <v>62</v>
      </c>
      <c r="C66" s="8">
        <v>42855.161999999997</v>
      </c>
      <c r="D66" s="8">
        <v>2657.1410000000001</v>
      </c>
      <c r="E66" s="9">
        <v>6.2002799999999997E-2</v>
      </c>
      <c r="F66" s="9">
        <v>0.93799719999999998</v>
      </c>
      <c r="G66" s="10">
        <f t="shared" si="5"/>
        <v>62.002799999999993</v>
      </c>
      <c r="H66" s="11">
        <f t="shared" si="6"/>
        <v>-2.7805757336664634</v>
      </c>
      <c r="I66" s="11">
        <f t="shared" si="7"/>
        <v>-1.2075886976454309</v>
      </c>
      <c r="J66" s="9">
        <f t="shared" si="8"/>
        <v>0.68561563248786705</v>
      </c>
      <c r="K66" s="9">
        <f t="shared" si="9"/>
        <v>0.39358103464875482</v>
      </c>
    </row>
    <row r="67" spans="2:11" ht="15.75" customHeight="1" x14ac:dyDescent="0.3">
      <c r="B67" s="12">
        <v>63</v>
      </c>
      <c r="C67" s="13">
        <v>40198.021000000001</v>
      </c>
      <c r="D67" s="13">
        <v>2691.7159999999999</v>
      </c>
      <c r="E67" s="14">
        <v>6.6961400000000004E-2</v>
      </c>
      <c r="F67" s="14">
        <v>0.93303860000000005</v>
      </c>
      <c r="G67" s="15">
        <f t="shared" si="5"/>
        <v>66.961399999999998</v>
      </c>
      <c r="H67" s="16">
        <f t="shared" si="6"/>
        <v>-2.7036389450147076</v>
      </c>
      <c r="I67" s="16">
        <f t="shared" si="7"/>
        <v>-1.1741754748786166</v>
      </c>
      <c r="J67" s="14">
        <f t="shared" si="8"/>
        <v>0.66490036910025996</v>
      </c>
      <c r="K67" s="14">
        <f t="shared" si="9"/>
        <v>0.36530683935908187</v>
      </c>
    </row>
    <row r="68" spans="2:11" ht="15.75" customHeight="1" x14ac:dyDescent="0.3">
      <c r="B68" s="7">
        <v>64</v>
      </c>
      <c r="C68" s="8">
        <v>37506.305</v>
      </c>
      <c r="D68" s="8">
        <v>2712.3270000000002</v>
      </c>
      <c r="E68" s="9">
        <v>7.2316599999999995E-2</v>
      </c>
      <c r="F68" s="9">
        <v>0.92768340000000005</v>
      </c>
      <c r="G68" s="10">
        <f t="shared" ref="G68:G103" si="10">E68*1000</f>
        <v>72.316599999999994</v>
      </c>
      <c r="H68" s="11">
        <f t="shared" ref="H68:H103" si="11">LN(E68)</f>
        <v>-2.6267015772777111</v>
      </c>
      <c r="I68" s="11">
        <f t="shared" ref="I68:I103" si="12">LOG(E68,10)</f>
        <v>-1.1407620006182779</v>
      </c>
      <c r="J68" s="9">
        <f t="shared" ref="J68:J98" si="13">C73/C68</f>
        <v>0.64337508053645909</v>
      </c>
      <c r="K68" s="9">
        <f t="shared" ref="K68:K93" si="14">C78/C68</f>
        <v>0.33717243007542336</v>
      </c>
    </row>
    <row r="69" spans="2:11" ht="15.75" customHeight="1" x14ac:dyDescent="0.3">
      <c r="B69" s="12">
        <v>65</v>
      </c>
      <c r="C69" s="13">
        <v>34793.978000000003</v>
      </c>
      <c r="D69" s="13">
        <v>2717.41</v>
      </c>
      <c r="E69" s="14">
        <v>7.8100000000000003E-2</v>
      </c>
      <c r="F69" s="14">
        <v>0.92190000000000005</v>
      </c>
      <c r="G69" s="15">
        <f t="shared" si="10"/>
        <v>78.100000000000009</v>
      </c>
      <c r="H69" s="16">
        <f t="shared" si="11"/>
        <v>-2.5497652221364966</v>
      </c>
      <c r="I69" s="16">
        <f t="shared" si="12"/>
        <v>-1.1073489661226994</v>
      </c>
      <c r="J69" s="14">
        <f t="shared" si="13"/>
        <v>0.62105045878916165</v>
      </c>
      <c r="K69" s="14">
        <f t="shared" si="14"/>
        <v>0.30932272245501791</v>
      </c>
    </row>
    <row r="70" spans="2:11" ht="15.75" customHeight="1" x14ac:dyDescent="0.3">
      <c r="B70" s="7">
        <v>66</v>
      </c>
      <c r="C70" s="8">
        <v>32076.567999999999</v>
      </c>
      <c r="D70" s="8">
        <v>2694.3989999999999</v>
      </c>
      <c r="E70" s="9">
        <v>8.3999000000000004E-2</v>
      </c>
      <c r="F70" s="9">
        <v>0.91600099999999995</v>
      </c>
      <c r="G70" s="10">
        <f t="shared" si="10"/>
        <v>83.999000000000009</v>
      </c>
      <c r="H70" s="11">
        <f t="shared" si="11"/>
        <v>-2.4769503849715906</v>
      </c>
      <c r="I70" s="11">
        <f t="shared" si="12"/>
        <v>-1.0757258841412971</v>
      </c>
      <c r="J70" s="9">
        <f t="shared" si="13"/>
        <v>0.59794380121963175</v>
      </c>
      <c r="K70" s="9">
        <f t="shared" si="14"/>
        <v>0.28191014699577582</v>
      </c>
    </row>
    <row r="71" spans="2:11" ht="15.75" customHeight="1" x14ac:dyDescent="0.3">
      <c r="B71" s="12">
        <v>67</v>
      </c>
      <c r="C71" s="13">
        <v>29382.169000000002</v>
      </c>
      <c r="D71" s="13">
        <v>2654.489</v>
      </c>
      <c r="E71" s="14">
        <v>9.0343499999999993E-2</v>
      </c>
      <c r="F71" s="14">
        <v>0.90965649999999998</v>
      </c>
      <c r="G71" s="15">
        <f t="shared" si="10"/>
        <v>90.343499999999992</v>
      </c>
      <c r="H71" s="16">
        <f t="shared" si="11"/>
        <v>-2.4041362069779249</v>
      </c>
      <c r="I71" s="16">
        <f t="shared" si="12"/>
        <v>-1.0441030884343268</v>
      </c>
      <c r="J71" s="14">
        <f t="shared" si="13"/>
        <v>0.57405493107060945</v>
      </c>
      <c r="K71" s="14">
        <f t="shared" si="14"/>
        <v>0.25517309494748325</v>
      </c>
    </row>
    <row r="72" spans="2:11" ht="15.75" customHeight="1" x14ac:dyDescent="0.3">
      <c r="B72" s="7">
        <v>68</v>
      </c>
      <c r="C72" s="8">
        <v>26727.679</v>
      </c>
      <c r="D72" s="8">
        <v>2597.0569999999998</v>
      </c>
      <c r="E72" s="9">
        <v>9.7167299999999998E-2</v>
      </c>
      <c r="F72" s="9">
        <v>0.90283270000000004</v>
      </c>
      <c r="G72" s="10">
        <f t="shared" si="10"/>
        <v>97.167299999999997</v>
      </c>
      <c r="H72" s="11">
        <f t="shared" si="11"/>
        <v>-2.3313210438706502</v>
      </c>
      <c r="I72" s="11">
        <f t="shared" si="12"/>
        <v>-1.0124798648979521</v>
      </c>
      <c r="J72" s="9">
        <f t="shared" si="13"/>
        <v>0.54941590700786247</v>
      </c>
      <c r="K72" s="9">
        <f t="shared" si="14"/>
        <v>0.22926083480724233</v>
      </c>
    </row>
    <row r="73" spans="2:11" ht="15.75" customHeight="1" x14ac:dyDescent="0.3">
      <c r="B73" s="12">
        <v>69</v>
      </c>
      <c r="C73" s="13">
        <v>24130.621999999999</v>
      </c>
      <c r="D73" s="13">
        <v>2521.8069999999998</v>
      </c>
      <c r="E73" s="14">
        <v>0.1045065</v>
      </c>
      <c r="F73" s="14">
        <v>0.89549350000000005</v>
      </c>
      <c r="G73" s="15">
        <f t="shared" si="10"/>
        <v>104.5065</v>
      </c>
      <c r="H73" s="16">
        <f t="shared" si="11"/>
        <v>-2.258506008554733</v>
      </c>
      <c r="I73" s="16">
        <f t="shared" si="12"/>
        <v>-0.98085669686065891</v>
      </c>
      <c r="J73" s="14">
        <f t="shared" si="13"/>
        <v>0.52406821506714585</v>
      </c>
      <c r="K73" s="14">
        <f t="shared" si="14"/>
        <v>0.20432113187965067</v>
      </c>
    </row>
    <row r="74" spans="2:11" ht="15.75" customHeight="1" x14ac:dyDescent="0.3">
      <c r="B74" s="7">
        <v>70</v>
      </c>
      <c r="C74" s="8">
        <v>21608.815999999999</v>
      </c>
      <c r="D74" s="8">
        <v>2428.8310000000001</v>
      </c>
      <c r="E74" s="9">
        <v>0.1124</v>
      </c>
      <c r="F74" s="9">
        <v>0.88759999999999994</v>
      </c>
      <c r="G74" s="10">
        <f t="shared" si="10"/>
        <v>112.4</v>
      </c>
      <c r="H74" s="11">
        <f t="shared" si="11"/>
        <v>-2.1856913415225465</v>
      </c>
      <c r="I74" s="11">
        <f t="shared" si="12"/>
        <v>-0.94923368876695768</v>
      </c>
      <c r="J74" s="9">
        <f t="shared" si="13"/>
        <v>0.498063753238493</v>
      </c>
      <c r="K74" s="9">
        <f t="shared" si="14"/>
        <v>0.18049730258242749</v>
      </c>
    </row>
    <row r="75" spans="2:11" ht="15.75" customHeight="1" x14ac:dyDescent="0.3">
      <c r="B75" s="12">
        <v>71</v>
      </c>
      <c r="C75" s="13">
        <v>19179.985000000001</v>
      </c>
      <c r="D75" s="13">
        <v>2313.0059999999999</v>
      </c>
      <c r="E75" s="14">
        <v>0.1205948</v>
      </c>
      <c r="F75" s="14">
        <v>0.8794052</v>
      </c>
      <c r="G75" s="15">
        <f t="shared" si="10"/>
        <v>120.59480000000001</v>
      </c>
      <c r="H75" s="16">
        <f t="shared" si="11"/>
        <v>-2.1153191133632587</v>
      </c>
      <c r="I75" s="16">
        <f t="shared" si="12"/>
        <v>-0.91867141839814237</v>
      </c>
      <c r="J75" s="14">
        <f t="shared" si="13"/>
        <v>0.47146595787222978</v>
      </c>
      <c r="K75" s="14">
        <f t="shared" si="14"/>
        <v>0.15792499316344616</v>
      </c>
    </row>
    <row r="76" spans="2:11" ht="15.75" customHeight="1" x14ac:dyDescent="0.3">
      <c r="B76" s="7">
        <v>72</v>
      </c>
      <c r="C76" s="8">
        <v>16866.978999999999</v>
      </c>
      <c r="D76" s="8">
        <v>2182.3670000000002</v>
      </c>
      <c r="E76" s="9">
        <v>0.129387</v>
      </c>
      <c r="F76" s="9">
        <v>0.87061299999999997</v>
      </c>
      <c r="G76" s="10">
        <f t="shared" si="10"/>
        <v>129.387</v>
      </c>
      <c r="H76" s="11">
        <f t="shared" si="11"/>
        <v>-2.0449473656406663</v>
      </c>
      <c r="I76" s="11">
        <f t="shared" si="12"/>
        <v>-0.88810935668033275</v>
      </c>
      <c r="J76" s="9">
        <f t="shared" si="13"/>
        <v>0.44450989119035483</v>
      </c>
      <c r="K76" s="9">
        <f t="shared" si="14"/>
        <v>0.13677962129436458</v>
      </c>
    </row>
    <row r="77" spans="2:11" ht="15.75" customHeight="1" x14ac:dyDescent="0.3">
      <c r="B77" s="12">
        <v>73</v>
      </c>
      <c r="C77" s="13">
        <v>14684.611999999999</v>
      </c>
      <c r="D77" s="13">
        <v>2038.52</v>
      </c>
      <c r="E77" s="14">
        <v>0.1388202</v>
      </c>
      <c r="F77" s="14">
        <v>0.86117980000000005</v>
      </c>
      <c r="G77" s="15">
        <f t="shared" si="10"/>
        <v>138.8202</v>
      </c>
      <c r="H77" s="16">
        <f t="shared" si="11"/>
        <v>-1.9745757083571427</v>
      </c>
      <c r="I77" s="16">
        <f t="shared" si="12"/>
        <v>-0.85754733423971163</v>
      </c>
      <c r="J77" s="14">
        <f t="shared" si="13"/>
        <v>0.41728102860327532</v>
      </c>
      <c r="K77" s="14">
        <f t="shared" si="14"/>
        <v>0.11715719829710175</v>
      </c>
    </row>
    <row r="78" spans="2:11" ht="15.75" customHeight="1" x14ac:dyDescent="0.3">
      <c r="B78" s="7">
        <v>74</v>
      </c>
      <c r="C78" s="8">
        <v>12646.092000000001</v>
      </c>
      <c r="D78" s="8">
        <v>1883.5229999999999</v>
      </c>
      <c r="E78" s="9">
        <v>0.14894109999999999</v>
      </c>
      <c r="F78" s="9">
        <v>0.85105889999999995</v>
      </c>
      <c r="G78" s="10">
        <f t="shared" si="10"/>
        <v>148.94110000000001</v>
      </c>
      <c r="H78" s="11">
        <f t="shared" si="11"/>
        <v>-1.9042043532025383</v>
      </c>
      <c r="I78" s="11">
        <f t="shared" si="12"/>
        <v>-0.82698544301201304</v>
      </c>
      <c r="J78" s="9">
        <f t="shared" si="13"/>
        <v>0.3898750697053287</v>
      </c>
      <c r="K78" s="9">
        <f t="shared" si="14"/>
        <v>9.9135132023395051E-2</v>
      </c>
    </row>
    <row r="79" spans="2:11" ht="15.75" customHeight="1" x14ac:dyDescent="0.3">
      <c r="B79" s="12">
        <v>75</v>
      </c>
      <c r="C79" s="13">
        <v>10762.567999999999</v>
      </c>
      <c r="D79" s="13">
        <v>1719.8579999999999</v>
      </c>
      <c r="E79" s="14">
        <v>0.1598</v>
      </c>
      <c r="F79" s="14">
        <v>0.84019999999999995</v>
      </c>
      <c r="G79" s="15">
        <f t="shared" si="10"/>
        <v>159.80000000000001</v>
      </c>
      <c r="H79" s="16">
        <f t="shared" si="11"/>
        <v>-1.8338322456499627</v>
      </c>
      <c r="I79" s="16">
        <f t="shared" si="12"/>
        <v>-0.79642322502202734</v>
      </c>
      <c r="J79" s="14">
        <f t="shared" si="13"/>
        <v>0.36239798903012743</v>
      </c>
      <c r="K79" s="14">
        <f t="shared" si="14"/>
        <v>8.2769279599441317E-2</v>
      </c>
    </row>
    <row r="80" spans="2:11" ht="15.75" customHeight="1" x14ac:dyDescent="0.3">
      <c r="B80" s="7">
        <v>76</v>
      </c>
      <c r="C80" s="8">
        <v>9042.7099999999991</v>
      </c>
      <c r="D80" s="8">
        <v>1545.171</v>
      </c>
      <c r="E80" s="9">
        <v>0.17087479999999999</v>
      </c>
      <c r="F80" s="9">
        <v>0.82912520000000001</v>
      </c>
      <c r="G80" s="10">
        <f t="shared" si="10"/>
        <v>170.87479999999999</v>
      </c>
      <c r="H80" s="11">
        <f t="shared" si="11"/>
        <v>-1.766824154384941</v>
      </c>
      <c r="I80" s="11">
        <f t="shared" si="12"/>
        <v>-0.76732198074275892</v>
      </c>
      <c r="J80" s="9">
        <f t="shared" si="13"/>
        <v>0.33496584541581009</v>
      </c>
      <c r="K80" s="9">
        <f t="shared" si="14"/>
        <v>6.8091092161531225E-2</v>
      </c>
    </row>
    <row r="81" spans="2:11" ht="15.75" customHeight="1" x14ac:dyDescent="0.3">
      <c r="B81" s="12">
        <v>77</v>
      </c>
      <c r="C81" s="13">
        <v>7497.5389999999998</v>
      </c>
      <c r="D81" s="13">
        <v>1369.9290000000001</v>
      </c>
      <c r="E81" s="14">
        <v>0.1827172</v>
      </c>
      <c r="F81" s="14">
        <v>0.81728279999999998</v>
      </c>
      <c r="G81" s="15">
        <f t="shared" si="10"/>
        <v>182.71719999999999</v>
      </c>
      <c r="H81" s="16">
        <f t="shared" si="11"/>
        <v>-1.6998156766249</v>
      </c>
      <c r="I81" s="16">
        <f t="shared" si="12"/>
        <v>-0.73822056861083629</v>
      </c>
      <c r="J81" s="14">
        <f t="shared" si="13"/>
        <v>0.30770883619278278</v>
      </c>
      <c r="K81" s="14">
        <f t="shared" si="14"/>
        <v>5.5078606460066432E-2</v>
      </c>
    </row>
    <row r="82" spans="2:11" ht="15.75" customHeight="1" x14ac:dyDescent="0.3">
      <c r="B82" s="7">
        <v>78</v>
      </c>
      <c r="C82" s="8">
        <v>6127.61</v>
      </c>
      <c r="D82" s="8">
        <v>1197.2139999999999</v>
      </c>
      <c r="E82" s="9">
        <v>0.1953802</v>
      </c>
      <c r="F82" s="9">
        <v>0.8046198</v>
      </c>
      <c r="G82" s="10">
        <f t="shared" si="10"/>
        <v>195.3802</v>
      </c>
      <c r="H82" s="11">
        <f t="shared" si="11"/>
        <v>-1.6328078751116366</v>
      </c>
      <c r="I82" s="11">
        <f t="shared" si="12"/>
        <v>-0.70911945016915767</v>
      </c>
      <c r="J82" s="9">
        <f t="shared" si="13"/>
        <v>0.28076329923085835</v>
      </c>
      <c r="K82" s="9">
        <f t="shared" si="14"/>
        <v>4.372324609431736E-2</v>
      </c>
    </row>
    <row r="83" spans="2:11" ht="15.75" customHeight="1" x14ac:dyDescent="0.3">
      <c r="B83" s="12">
        <v>79</v>
      </c>
      <c r="C83" s="13">
        <v>4930.3959999999997</v>
      </c>
      <c r="D83" s="13">
        <v>1030.0630000000001</v>
      </c>
      <c r="E83" s="14">
        <v>0.20892089999999999</v>
      </c>
      <c r="F83" s="14">
        <v>0.79107910000000004</v>
      </c>
      <c r="G83" s="15">
        <f t="shared" si="10"/>
        <v>208.92089999999999</v>
      </c>
      <c r="H83" s="16">
        <f t="shared" si="11"/>
        <v>-1.5657995675542771</v>
      </c>
      <c r="I83" s="16">
        <f t="shared" si="12"/>
        <v>-0.68001811195532047</v>
      </c>
      <c r="J83" s="14">
        <f t="shared" si="13"/>
        <v>0.25427409887562785</v>
      </c>
      <c r="K83" s="14">
        <f t="shared" si="14"/>
        <v>3.3986722364694445E-2</v>
      </c>
    </row>
    <row r="84" spans="2:11" ht="15.75" customHeight="1" x14ac:dyDescent="0.3">
      <c r="B84" s="7">
        <v>80</v>
      </c>
      <c r="C84" s="8">
        <v>3900.3330000000001</v>
      </c>
      <c r="D84" s="8">
        <v>871.33399999999995</v>
      </c>
      <c r="E84" s="9">
        <v>0.22339999999999999</v>
      </c>
      <c r="F84" s="9">
        <v>0.77659999999999996</v>
      </c>
      <c r="G84" s="10">
        <f t="shared" si="10"/>
        <v>223.39999999999998</v>
      </c>
      <c r="H84" s="11">
        <f t="shared" si="11"/>
        <v>-1.4987913923470368</v>
      </c>
      <c r="I84" s="11">
        <f t="shared" si="12"/>
        <v>-0.65091683122040978</v>
      </c>
      <c r="J84" s="9">
        <f t="shared" si="13"/>
        <v>0.22839331923710102</v>
      </c>
      <c r="K84" s="9">
        <f t="shared" si="14"/>
        <v>2.5801130313745004E-2</v>
      </c>
    </row>
    <row r="85" spans="2:11" ht="15.75" customHeight="1" x14ac:dyDescent="0.3">
      <c r="B85" s="12">
        <v>81</v>
      </c>
      <c r="C85" s="13">
        <v>3028.9989999999998</v>
      </c>
      <c r="D85" s="13">
        <v>721.94</v>
      </c>
      <c r="E85" s="14">
        <v>0.23834279999999999</v>
      </c>
      <c r="F85" s="14">
        <v>0.76165720000000003</v>
      </c>
      <c r="G85" s="15">
        <f t="shared" si="10"/>
        <v>238.34279999999998</v>
      </c>
      <c r="H85" s="16">
        <f t="shared" si="11"/>
        <v>-1.4340453054653484</v>
      </c>
      <c r="I85" s="16">
        <f t="shared" si="12"/>
        <v>-0.62279796296286394</v>
      </c>
      <c r="J85" s="14">
        <f t="shared" si="13"/>
        <v>0.20327771649974133</v>
      </c>
      <c r="K85" s="14">
        <f t="shared" si="14"/>
        <v>1.9069996391547175E-2</v>
      </c>
    </row>
    <row r="86" spans="2:11" ht="15.75" customHeight="1" x14ac:dyDescent="0.3">
      <c r="B86" s="7">
        <v>82</v>
      </c>
      <c r="C86" s="8">
        <v>2307.0590000000002</v>
      </c>
      <c r="D86" s="8">
        <v>586.65099999999995</v>
      </c>
      <c r="E86" s="9">
        <v>0.25428499999999998</v>
      </c>
      <c r="F86" s="9">
        <v>0.74571500000000002</v>
      </c>
      <c r="G86" s="10">
        <f t="shared" si="10"/>
        <v>254.285</v>
      </c>
      <c r="H86" s="11">
        <f t="shared" si="11"/>
        <v>-1.3692995937440289</v>
      </c>
      <c r="I86" s="11">
        <f t="shared" si="12"/>
        <v>-0.5946792576353962</v>
      </c>
      <c r="J86" s="9">
        <f t="shared" si="13"/>
        <v>0.17899585576268312</v>
      </c>
      <c r="K86" s="9">
        <f t="shared" si="14"/>
        <v>1.3681054537400213E-2</v>
      </c>
    </row>
    <row r="87" spans="2:11" ht="15.75" customHeight="1" x14ac:dyDescent="0.3">
      <c r="B87" s="12">
        <v>83</v>
      </c>
      <c r="C87" s="13">
        <v>1720.4079999999999</v>
      </c>
      <c r="D87" s="13">
        <v>466.73599999999999</v>
      </c>
      <c r="E87" s="14">
        <v>0.27129370000000003</v>
      </c>
      <c r="F87" s="14">
        <v>0.72870630000000003</v>
      </c>
      <c r="G87" s="15">
        <f t="shared" si="10"/>
        <v>271.2937</v>
      </c>
      <c r="H87" s="16">
        <f t="shared" si="11"/>
        <v>-1.3045532811128606</v>
      </c>
      <c r="I87" s="16">
        <f t="shared" si="12"/>
        <v>-0.56656029133609698</v>
      </c>
      <c r="J87" s="14">
        <f t="shared" si="13"/>
        <v>0.15572991987947046</v>
      </c>
      <c r="K87" s="14">
        <f t="shared" si="14"/>
        <v>9.4855406391972132E-3</v>
      </c>
    </row>
    <row r="88" spans="2:11" ht="15.75" customHeight="1" x14ac:dyDescent="0.3">
      <c r="B88" s="7">
        <v>84</v>
      </c>
      <c r="C88" s="8">
        <v>1253.672</v>
      </c>
      <c r="D88" s="8">
        <v>362.863</v>
      </c>
      <c r="E88" s="9">
        <v>0.28943990000000003</v>
      </c>
      <c r="F88" s="9">
        <v>0.71056010000000003</v>
      </c>
      <c r="G88" s="10">
        <f t="shared" si="10"/>
        <v>289.43990000000002</v>
      </c>
      <c r="H88" s="11">
        <f t="shared" si="11"/>
        <v>-1.2398076028299601</v>
      </c>
      <c r="I88" s="11">
        <f t="shared" si="12"/>
        <v>-0.53844160053075008</v>
      </c>
      <c r="J88" s="9">
        <f t="shared" si="13"/>
        <v>0.13366175522784268</v>
      </c>
      <c r="K88" s="9">
        <f t="shared" si="14"/>
        <v>6.3230254803489268E-3</v>
      </c>
    </row>
    <row r="89" spans="2:11" ht="15.75" customHeight="1" x14ac:dyDescent="0.3">
      <c r="B89" s="12">
        <v>85</v>
      </c>
      <c r="C89" s="13">
        <v>890.81</v>
      </c>
      <c r="D89" s="13">
        <v>275.08199999999999</v>
      </c>
      <c r="E89" s="14">
        <v>0.30880000000000002</v>
      </c>
      <c r="F89" s="14">
        <v>0.69120000000000004</v>
      </c>
      <c r="G89" s="15">
        <f t="shared" si="10"/>
        <v>308.8</v>
      </c>
      <c r="H89" s="16">
        <f t="shared" si="11"/>
        <v>-1.175061460831516</v>
      </c>
      <c r="I89" s="16">
        <f t="shared" si="12"/>
        <v>-0.51032270833630144</v>
      </c>
      <c r="J89" s="14">
        <f t="shared" si="13"/>
        <v>0.112967972968422</v>
      </c>
      <c r="K89" s="14">
        <f t="shared" si="14"/>
        <v>4.0266723543741093E-3</v>
      </c>
    </row>
    <row r="90" spans="2:11" ht="15.75" customHeight="1" x14ac:dyDescent="0.3">
      <c r="B90" s="7">
        <v>86</v>
      </c>
      <c r="C90" s="8">
        <v>615.72799999999995</v>
      </c>
      <c r="D90" s="8">
        <v>202.774</v>
      </c>
      <c r="E90" s="9">
        <v>0.32932430000000001</v>
      </c>
      <c r="F90" s="9">
        <v>0.67067569999999999</v>
      </c>
      <c r="G90" s="10">
        <f t="shared" si="10"/>
        <v>329.32429999999999</v>
      </c>
      <c r="H90" s="11">
        <f t="shared" si="11"/>
        <v>-1.1107122994283625</v>
      </c>
      <c r="I90" s="11">
        <f t="shared" si="12"/>
        <v>-0.48237622262381014</v>
      </c>
      <c r="J90" s="9">
        <f t="shared" si="13"/>
        <v>9.3812527609593854E-2</v>
      </c>
      <c r="K90" s="9">
        <f t="shared" si="14"/>
        <v>2.4296442585037552E-3</v>
      </c>
    </row>
    <row r="91" spans="2:11" ht="15.75" customHeight="1" x14ac:dyDescent="0.3">
      <c r="B91" s="12">
        <v>87</v>
      </c>
      <c r="C91" s="13">
        <v>412.95400000000001</v>
      </c>
      <c r="D91" s="13">
        <v>145.035</v>
      </c>
      <c r="E91" s="14">
        <v>0.35121269999999999</v>
      </c>
      <c r="F91" s="14">
        <v>0.64878729999999996</v>
      </c>
      <c r="G91" s="15">
        <f t="shared" si="10"/>
        <v>351.21269999999998</v>
      </c>
      <c r="H91" s="16">
        <f t="shared" si="11"/>
        <v>-1.0463632561437879</v>
      </c>
      <c r="I91" s="16">
        <f t="shared" si="12"/>
        <v>-0.45442978820956592</v>
      </c>
      <c r="J91" s="14">
        <f t="shared" si="13"/>
        <v>7.6432241847760277E-2</v>
      </c>
      <c r="K91" s="14">
        <f t="shared" si="14"/>
        <v>1.205945456394659E-3</v>
      </c>
    </row>
    <row r="92" spans="2:11" ht="15.75" customHeight="1" x14ac:dyDescent="0.3">
      <c r="B92" s="7">
        <v>88</v>
      </c>
      <c r="C92" s="8">
        <v>267.91899999999998</v>
      </c>
      <c r="D92" s="8">
        <v>100.351</v>
      </c>
      <c r="E92" s="9">
        <v>0.3745559</v>
      </c>
      <c r="F92" s="9">
        <v>0.62544409999999995</v>
      </c>
      <c r="G92" s="10">
        <f t="shared" si="10"/>
        <v>374.55590000000001</v>
      </c>
      <c r="H92" s="11">
        <f t="shared" si="11"/>
        <v>-0.9820142214762938</v>
      </c>
      <c r="I92" s="11">
        <f t="shared" si="12"/>
        <v>-0.42648335753767219</v>
      </c>
      <c r="J92" s="9">
        <f t="shared" si="13"/>
        <v>6.0910200471037887E-2</v>
      </c>
      <c r="K92" s="9">
        <f t="shared" si="14"/>
        <v>4.4043162299053072E-4</v>
      </c>
    </row>
    <row r="93" spans="2:11" ht="15.75" customHeight="1" x14ac:dyDescent="0.3">
      <c r="B93" s="12">
        <v>89</v>
      </c>
      <c r="C93" s="13">
        <v>167.56800000000001</v>
      </c>
      <c r="D93" s="13">
        <v>66.935000000000002</v>
      </c>
      <c r="E93" s="14">
        <v>0.39945069999999999</v>
      </c>
      <c r="F93" s="14">
        <v>0.60054929999999995</v>
      </c>
      <c r="G93" s="15">
        <f t="shared" si="10"/>
        <v>399.45069999999998</v>
      </c>
      <c r="H93" s="16">
        <f t="shared" si="11"/>
        <v>-0.9176649256460585</v>
      </c>
      <c r="I93" s="16">
        <f t="shared" si="12"/>
        <v>-0.39853681344424108</v>
      </c>
      <c r="J93" s="14">
        <f t="shared" si="13"/>
        <v>4.7306168242146465E-2</v>
      </c>
      <c r="K93" s="14">
        <f t="shared" si="14"/>
        <v>0</v>
      </c>
    </row>
    <row r="94" spans="2:11" ht="15.75" customHeight="1" x14ac:dyDescent="0.3">
      <c r="B94" s="7">
        <v>90</v>
      </c>
      <c r="C94" s="8">
        <v>100.633</v>
      </c>
      <c r="D94" s="8">
        <v>42.87</v>
      </c>
      <c r="E94" s="9">
        <v>0.42599999999999999</v>
      </c>
      <c r="F94" s="9">
        <v>0.57399999999999995</v>
      </c>
      <c r="G94" s="10">
        <f t="shared" si="10"/>
        <v>426</v>
      </c>
      <c r="H94" s="11">
        <f t="shared" si="11"/>
        <v>-0.85331593271276662</v>
      </c>
      <c r="I94" s="11">
        <f t="shared" si="12"/>
        <v>-0.37059040089728107</v>
      </c>
      <c r="J94" s="9">
        <f t="shared" si="13"/>
        <v>3.5644371130742404E-2</v>
      </c>
      <c r="K94" s="9">
        <v>0</v>
      </c>
    </row>
    <row r="95" spans="2:11" ht="15.75" customHeight="1" x14ac:dyDescent="0.3">
      <c r="B95" s="12">
        <v>91</v>
      </c>
      <c r="C95" s="13">
        <v>57.762999999999998</v>
      </c>
      <c r="D95" s="13">
        <v>26.201000000000001</v>
      </c>
      <c r="E95" s="14">
        <v>0.45358779999999999</v>
      </c>
      <c r="F95" s="14">
        <v>0.54641220000000001</v>
      </c>
      <c r="G95" s="15">
        <f t="shared" si="10"/>
        <v>453.58779999999996</v>
      </c>
      <c r="H95" s="16">
        <f t="shared" si="11"/>
        <v>-0.79056642287385981</v>
      </c>
      <c r="I95" s="16">
        <f t="shared" si="12"/>
        <v>-0.34333863503210998</v>
      </c>
      <c r="J95" s="14">
        <f t="shared" si="13"/>
        <v>2.5898931842182712E-2</v>
      </c>
      <c r="K95" s="14">
        <v>0</v>
      </c>
    </row>
    <row r="96" spans="2:11" ht="15.75" customHeight="1" x14ac:dyDescent="0.3">
      <c r="B96" s="7">
        <v>92</v>
      </c>
      <c r="C96" s="8">
        <v>31.562999999999999</v>
      </c>
      <c r="D96" s="8">
        <v>15.244</v>
      </c>
      <c r="E96" s="9">
        <v>0.48296220000000001</v>
      </c>
      <c r="F96" s="9">
        <v>0.51703779999999999</v>
      </c>
      <c r="G96" s="10">
        <f t="shared" si="10"/>
        <v>482.9622</v>
      </c>
      <c r="H96" s="11">
        <f t="shared" si="11"/>
        <v>-0.72781688926167121</v>
      </c>
      <c r="I96" s="11">
        <f t="shared" si="12"/>
        <v>-0.3160868588423339</v>
      </c>
      <c r="J96" s="9">
        <f t="shared" si="13"/>
        <v>1.5777967873776257E-2</v>
      </c>
      <c r="K96" s="9">
        <v>0</v>
      </c>
    </row>
    <row r="97" spans="2:11" ht="15.75" customHeight="1" x14ac:dyDescent="0.3">
      <c r="B97" s="12">
        <v>93</v>
      </c>
      <c r="C97" s="13">
        <v>16.318999999999999</v>
      </c>
      <c r="D97" s="13">
        <v>8.3919999999999995</v>
      </c>
      <c r="E97" s="14">
        <v>0.514239</v>
      </c>
      <c r="F97" s="14">
        <v>0.485761</v>
      </c>
      <c r="G97" s="15">
        <f t="shared" si="10"/>
        <v>514.23900000000003</v>
      </c>
      <c r="H97" s="16">
        <f t="shared" si="11"/>
        <v>-0.66506714105217934</v>
      </c>
      <c r="I97" s="16">
        <f t="shared" si="12"/>
        <v>-0.28883498945413311</v>
      </c>
      <c r="J97" s="14">
        <f t="shared" si="13"/>
        <v>7.230835222746492E-3</v>
      </c>
      <c r="K97" s="14">
        <v>0</v>
      </c>
    </row>
    <row r="98" spans="2:11" ht="15.75" customHeight="1" x14ac:dyDescent="0.3">
      <c r="B98" s="7">
        <v>94</v>
      </c>
      <c r="C98" s="8">
        <v>7.9269999999999996</v>
      </c>
      <c r="D98" s="8">
        <v>4.34</v>
      </c>
      <c r="E98" s="9">
        <v>0.5475411</v>
      </c>
      <c r="F98" s="9">
        <v>0.4524589</v>
      </c>
      <c r="G98" s="10">
        <f t="shared" si="10"/>
        <v>547.54110000000003</v>
      </c>
      <c r="H98" s="11">
        <f t="shared" si="11"/>
        <v>-0.60231775161582879</v>
      </c>
      <c r="I98" s="11">
        <f t="shared" si="12"/>
        <v>-0.26158327587912789</v>
      </c>
      <c r="J98" s="9">
        <f t="shared" si="13"/>
        <v>0</v>
      </c>
      <c r="K98" s="9">
        <v>0</v>
      </c>
    </row>
    <row r="99" spans="2:11" ht="15.75" customHeight="1" x14ac:dyDescent="0.3">
      <c r="B99" s="12">
        <v>95</v>
      </c>
      <c r="C99" s="13">
        <v>3.5870000000000002</v>
      </c>
      <c r="D99" s="13">
        <v>2.0910000000000002</v>
      </c>
      <c r="E99" s="14">
        <v>0.58299999999999996</v>
      </c>
      <c r="F99" s="14">
        <v>0.41699999999999998</v>
      </c>
      <c r="G99" s="15">
        <f t="shared" si="10"/>
        <v>583</v>
      </c>
      <c r="H99" s="16">
        <f t="shared" si="11"/>
        <v>-0.53956809263164474</v>
      </c>
      <c r="I99" s="16">
        <f t="shared" si="12"/>
        <v>-0.23433144524098592</v>
      </c>
      <c r="J99" s="14">
        <v>0</v>
      </c>
      <c r="K99" s="14">
        <v>0</v>
      </c>
    </row>
    <row r="100" spans="2:11" ht="15.75" customHeight="1" x14ac:dyDescent="0.3">
      <c r="B100" s="7">
        <v>96</v>
      </c>
      <c r="C100" s="8">
        <v>1.496</v>
      </c>
      <c r="D100" s="8">
        <v>0.998</v>
      </c>
      <c r="E100" s="9">
        <v>0.66719289999999998</v>
      </c>
      <c r="F100" s="9">
        <v>0.33280710000000002</v>
      </c>
      <c r="G100" s="10">
        <f t="shared" si="10"/>
        <v>667.19290000000001</v>
      </c>
      <c r="H100" s="11">
        <f t="shared" si="11"/>
        <v>-0.40467606948103163</v>
      </c>
      <c r="I100" s="11">
        <f t="shared" si="12"/>
        <v>-0.17574858393390896</v>
      </c>
      <c r="J100" s="9">
        <v>0</v>
      </c>
      <c r="K100" s="9">
        <v>0</v>
      </c>
    </row>
    <row r="101" spans="2:11" ht="15.75" customHeight="1" x14ac:dyDescent="0.3">
      <c r="B101" s="12">
        <v>97</v>
      </c>
      <c r="C101" s="13">
        <v>0.498</v>
      </c>
      <c r="D101" s="13">
        <v>0.38</v>
      </c>
      <c r="E101" s="14">
        <v>0.76354440000000001</v>
      </c>
      <c r="F101" s="14">
        <v>0.23645559999999999</v>
      </c>
      <c r="G101" s="15">
        <f t="shared" si="10"/>
        <v>763.5444</v>
      </c>
      <c r="H101" s="16">
        <f t="shared" si="11"/>
        <v>-0.26978400277263381</v>
      </c>
      <c r="I101" s="16">
        <f t="shared" si="12"/>
        <v>-0.11716570370992645</v>
      </c>
      <c r="J101" s="14">
        <v>0</v>
      </c>
      <c r="K101" s="14">
        <v>0</v>
      </c>
    </row>
    <row r="102" spans="2:11" ht="15.75" customHeight="1" x14ac:dyDescent="0.3">
      <c r="B102" s="7">
        <v>98</v>
      </c>
      <c r="C102" s="8">
        <v>0.11799999999999999</v>
      </c>
      <c r="D102" s="8">
        <v>0.10299999999999999</v>
      </c>
      <c r="E102" s="9">
        <v>0.87381030000000004</v>
      </c>
      <c r="F102" s="9">
        <v>0.12618969999999999</v>
      </c>
      <c r="G102" s="10">
        <f t="shared" si="10"/>
        <v>873.81029999999998</v>
      </c>
      <c r="H102" s="11">
        <f t="shared" si="11"/>
        <v>-0.13489197493985944</v>
      </c>
      <c r="I102" s="11">
        <f t="shared" si="12"/>
        <v>-5.8582840369412678E-2</v>
      </c>
      <c r="J102" s="9">
        <v>0</v>
      </c>
      <c r="K102" s="9">
        <v>0</v>
      </c>
    </row>
    <row r="103" spans="2:11" ht="15.75" customHeight="1" x14ac:dyDescent="0.3">
      <c r="B103" s="12">
        <v>99</v>
      </c>
      <c r="C103" s="13">
        <v>0</v>
      </c>
      <c r="D103" s="13">
        <v>0</v>
      </c>
      <c r="E103" s="14">
        <v>1</v>
      </c>
      <c r="F103" s="14">
        <v>0</v>
      </c>
      <c r="G103" s="15">
        <f t="shared" si="10"/>
        <v>1000</v>
      </c>
      <c r="H103" s="16">
        <f t="shared" si="11"/>
        <v>0</v>
      </c>
      <c r="I103" s="16">
        <f t="shared" si="12"/>
        <v>0</v>
      </c>
      <c r="J103" s="14">
        <v>0</v>
      </c>
      <c r="K103" s="14">
        <v>0</v>
      </c>
    </row>
    <row r="105" spans="2:11" ht="27.75" customHeight="1" x14ac:dyDescent="0.3">
      <c r="B105" s="64" t="s">
        <v>43</v>
      </c>
      <c r="C105" s="64"/>
      <c r="D105" s="64"/>
      <c r="E105" s="64"/>
      <c r="F105" s="64"/>
      <c r="G105" s="64"/>
      <c r="H105" s="64"/>
      <c r="I105" s="64"/>
      <c r="J105" s="64"/>
    </row>
  </sheetData>
  <mergeCells count="3">
    <mergeCell ref="B1:J1"/>
    <mergeCell ref="B2:J2"/>
    <mergeCell ref="B105:J105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1A6B3A"/>
  </sheetPr>
  <dimension ref="B1:D19"/>
  <sheetViews>
    <sheetView showGridLines="0" topLeftCell="A4" zoomScaleNormal="100" workbookViewId="0">
      <selection activeCell="C6" sqref="C6"/>
    </sheetView>
  </sheetViews>
  <sheetFormatPr baseColWidth="10" defaultColWidth="8.6640625" defaultRowHeight="14.4" x14ac:dyDescent="0.3"/>
  <cols>
    <col min="1" max="1" width="3" customWidth="1"/>
    <col min="2" max="2" width="37.77734375" customWidth="1"/>
    <col min="3" max="3" width="18" customWidth="1"/>
    <col min="4" max="4" width="22" customWidth="1"/>
    <col min="5" max="5" width="5" customWidth="1"/>
  </cols>
  <sheetData>
    <row r="1" spans="2:4" ht="36" customHeight="1" x14ac:dyDescent="0.3">
      <c r="B1" s="62" t="s">
        <v>44</v>
      </c>
      <c r="C1" s="62"/>
      <c r="D1" s="62"/>
    </row>
    <row r="2" spans="2:4" ht="18" customHeight="1" x14ac:dyDescent="0.3">
      <c r="B2" s="63" t="s">
        <v>45</v>
      </c>
      <c r="C2" s="63"/>
      <c r="D2" s="63"/>
    </row>
    <row r="4" spans="2:4" ht="24" customHeight="1" x14ac:dyDescent="0.3">
      <c r="B4" s="57" t="s">
        <v>46</v>
      </c>
      <c r="C4" s="57"/>
      <c r="D4" s="57"/>
    </row>
    <row r="5" spans="2:4" ht="21.75" customHeight="1" x14ac:dyDescent="0.3">
      <c r="B5" s="17" t="s">
        <v>47</v>
      </c>
      <c r="C5" s="18">
        <v>20</v>
      </c>
      <c r="D5" s="19" t="s">
        <v>48</v>
      </c>
    </row>
    <row r="6" spans="2:4" ht="21.75" customHeight="1" x14ac:dyDescent="0.3">
      <c r="B6" s="20" t="s">
        <v>49</v>
      </c>
      <c r="C6" s="18">
        <v>20</v>
      </c>
      <c r="D6" s="19" t="s">
        <v>50</v>
      </c>
    </row>
    <row r="7" spans="2:4" ht="21.75" customHeight="1" x14ac:dyDescent="0.3">
      <c r="B7" s="17" t="s">
        <v>51</v>
      </c>
      <c r="C7" s="21">
        <v>1000000</v>
      </c>
      <c r="D7" s="19" t="s">
        <v>52</v>
      </c>
    </row>
    <row r="8" spans="2:4" ht="21.75" customHeight="1" x14ac:dyDescent="0.3">
      <c r="B8" s="20" t="s">
        <v>53</v>
      </c>
      <c r="C8" s="22" t="s">
        <v>125</v>
      </c>
      <c r="D8" s="19" t="s">
        <v>54</v>
      </c>
    </row>
    <row r="10" spans="2:4" ht="24" customHeight="1" x14ac:dyDescent="0.3">
      <c r="B10" s="57" t="s">
        <v>55</v>
      </c>
      <c r="C10" s="57"/>
      <c r="D10" s="57"/>
    </row>
    <row r="11" spans="2:4" ht="21.75" customHeight="1" x14ac:dyDescent="0.3">
      <c r="B11" s="17" t="s">
        <v>56</v>
      </c>
      <c r="C11" s="23">
        <v>4.4999999999999998E-2</v>
      </c>
      <c r="D11" s="19" t="s">
        <v>57</v>
      </c>
    </row>
    <row r="12" spans="2:4" ht="21.75" customHeight="1" x14ac:dyDescent="0.3">
      <c r="B12" s="20" t="s">
        <v>58</v>
      </c>
      <c r="C12" s="9">
        <f>1/(1+C11)</f>
        <v>0.95693779904306231</v>
      </c>
      <c r="D12" s="19" t="s">
        <v>59</v>
      </c>
    </row>
    <row r="13" spans="2:4" ht="21.75" customHeight="1" x14ac:dyDescent="0.3">
      <c r="B13" s="17" t="s">
        <v>60</v>
      </c>
      <c r="C13" s="9">
        <f>C11/(1+C11)</f>
        <v>4.3062200956937802E-2</v>
      </c>
      <c r="D13" s="19" t="s">
        <v>61</v>
      </c>
    </row>
    <row r="15" spans="2:4" ht="24" customHeight="1" x14ac:dyDescent="0.3">
      <c r="B15" s="57" t="s">
        <v>62</v>
      </c>
      <c r="C15" s="57"/>
      <c r="D15" s="57"/>
    </row>
    <row r="16" spans="2:4" ht="21.75" customHeight="1" x14ac:dyDescent="0.3">
      <c r="B16" s="17" t="s">
        <v>63</v>
      </c>
      <c r="C16" s="24">
        <v>0.03</v>
      </c>
      <c r="D16" s="19" t="s">
        <v>64</v>
      </c>
    </row>
    <row r="17" spans="2:4" ht="21.75" customHeight="1" x14ac:dyDescent="0.3">
      <c r="B17" s="20" t="s">
        <v>65</v>
      </c>
      <c r="C17" s="24">
        <v>0.05</v>
      </c>
      <c r="D17" s="19" t="s">
        <v>66</v>
      </c>
    </row>
    <row r="18" spans="2:4" ht="21.75" customHeight="1" x14ac:dyDescent="0.3">
      <c r="B18" s="17" t="s">
        <v>67</v>
      </c>
      <c r="C18" s="24">
        <v>0.02</v>
      </c>
      <c r="D18" s="19" t="s">
        <v>68</v>
      </c>
    </row>
    <row r="19" spans="2:4" ht="21.75" customHeight="1" x14ac:dyDescent="0.3">
      <c r="B19" s="20" t="s">
        <v>69</v>
      </c>
      <c r="C19" s="25" t="str">
        <f>IF(C17+C18&lt;1,"✓ VÁLIDO","✗ ERROR: β+γ≥1")</f>
        <v>✓ VÁLIDO</v>
      </c>
      <c r="D19" s="19" t="s">
        <v>70</v>
      </c>
    </row>
  </sheetData>
  <mergeCells count="5">
    <mergeCell ref="B1:D1"/>
    <mergeCell ref="B2:D2"/>
    <mergeCell ref="B4:D4"/>
    <mergeCell ref="B10:D10"/>
    <mergeCell ref="B15:D15"/>
  </mergeCells>
  <dataValidations count="4">
    <dataValidation type="list" promptTitle="Tipo de producto" prompt="Selecciona el tipo de seguro" sqref="C8" xr:uid="{00000000-0002-0000-0200-000000000000}">
      <formula1>"Temporal,Dotal Puro,Dotal Mixto,Vida Entera"</formula1>
      <formula2>0</formula2>
    </dataValidation>
    <dataValidation type="whole" errorTitle="Edad inválida" error="Ingresa una edad entre 15 y 85 años" sqref="C5" xr:uid="{00000000-0002-0000-0200-000001000000}">
      <formula1>15</formula1>
      <formula2>85</formula2>
    </dataValidation>
    <dataValidation type="whole" operator="greaterThan" error="El plazo debe ser un entero positivo" sqref="C6" xr:uid="{00000000-0002-0000-0200-000002000000}">
      <formula1>0</formula1>
      <formula2>0</formula2>
    </dataValidation>
    <dataValidation type="decimal" error="La tasa técnica debe estar entre 0.1% y 10%" sqref="C11" xr:uid="{00000000-0002-0000-0200-000003000000}">
      <formula1>0.001</formula1>
      <formula2>0.1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1A6B3A"/>
  </sheetPr>
  <dimension ref="B1:I83"/>
  <sheetViews>
    <sheetView showGridLines="0" tabSelected="1" zoomScaleNormal="100" workbookViewId="0">
      <pane xSplit="1" ySplit="19" topLeftCell="B101" activePane="bottomRight" state="frozen"/>
      <selection pane="topRight" activeCell="B1" sqref="B1"/>
      <selection pane="bottomLeft" activeCell="A20" sqref="A20"/>
      <selection pane="bottomRight" activeCell="F10" sqref="F10"/>
    </sheetView>
  </sheetViews>
  <sheetFormatPr baseColWidth="10" defaultColWidth="8.6640625" defaultRowHeight="14.4" x14ac:dyDescent="0.3"/>
  <cols>
    <col min="1" max="1" width="3" customWidth="1"/>
    <col min="2" max="2" width="30" bestFit="1" customWidth="1"/>
    <col min="3" max="3" width="11" bestFit="1" customWidth="1"/>
    <col min="4" max="9" width="14" customWidth="1"/>
    <col min="10" max="10" width="5" customWidth="1"/>
  </cols>
  <sheetData>
    <row r="1" spans="2:9" ht="36" customHeight="1" x14ac:dyDescent="0.3">
      <c r="B1" s="62" t="s">
        <v>71</v>
      </c>
      <c r="C1" s="62"/>
      <c r="D1" s="62"/>
      <c r="E1" s="62"/>
      <c r="F1" s="62"/>
      <c r="G1" s="62"/>
      <c r="H1" s="62"/>
      <c r="I1" s="62"/>
    </row>
    <row r="2" spans="2:9" ht="18" customHeight="1" x14ac:dyDescent="0.3">
      <c r="B2" s="63" t="s">
        <v>72</v>
      </c>
      <c r="C2" s="63"/>
      <c r="D2" s="63"/>
      <c r="E2" s="63"/>
      <c r="F2" s="63"/>
      <c r="G2" s="63"/>
      <c r="H2" s="63"/>
      <c r="I2" s="63"/>
    </row>
    <row r="4" spans="2:9" ht="24" customHeight="1" x14ac:dyDescent="0.3">
      <c r="B4" s="65" t="s">
        <v>73</v>
      </c>
      <c r="C4" s="65"/>
      <c r="D4" s="65"/>
      <c r="E4" s="65"/>
      <c r="F4" s="65"/>
      <c r="G4" s="65"/>
      <c r="H4" s="65"/>
      <c r="I4" s="65"/>
    </row>
    <row r="5" spans="2:9" ht="18" customHeight="1" x14ac:dyDescent="0.3">
      <c r="B5" s="17" t="s">
        <v>74</v>
      </c>
      <c r="C5" s="26">
        <f>PARAMETROS!C5</f>
        <v>20</v>
      </c>
    </row>
    <row r="6" spans="2:9" ht="18" customHeight="1" x14ac:dyDescent="0.3">
      <c r="B6" s="20" t="s">
        <v>75</v>
      </c>
      <c r="C6" s="27">
        <f>PARAMETROS!C6</f>
        <v>20</v>
      </c>
    </row>
    <row r="7" spans="2:9" ht="18" customHeight="1" x14ac:dyDescent="0.3">
      <c r="B7" s="17" t="s">
        <v>76</v>
      </c>
      <c r="C7" s="28">
        <f>PARAMETROS!C7</f>
        <v>1000000</v>
      </c>
    </row>
    <row r="8" spans="2:9" ht="18" customHeight="1" x14ac:dyDescent="0.3">
      <c r="B8" s="20" t="s">
        <v>53</v>
      </c>
      <c r="C8" s="29" t="str">
        <f>PARAMETROS!C8</f>
        <v>Vida Entera</v>
      </c>
    </row>
    <row r="9" spans="2:9" ht="18" customHeight="1" x14ac:dyDescent="0.3">
      <c r="B9" s="17" t="s">
        <v>77</v>
      </c>
      <c r="C9" s="30">
        <f>PARAMETROS!C11</f>
        <v>4.4999999999999998E-2</v>
      </c>
    </row>
    <row r="10" spans="2:9" ht="18" customHeight="1" x14ac:dyDescent="0.3">
      <c r="B10" s="20" t="s">
        <v>58</v>
      </c>
      <c r="C10" s="31">
        <f>PARAMETROS!C12</f>
        <v>0.95693779904306231</v>
      </c>
    </row>
    <row r="11" spans="2:9" ht="18" customHeight="1" x14ac:dyDescent="0.3">
      <c r="B11" s="17" t="s">
        <v>60</v>
      </c>
      <c r="C11" s="32">
        <f>PARAMETROS!C13</f>
        <v>4.3062200956937802E-2</v>
      </c>
    </row>
    <row r="12" spans="2:9" ht="18" customHeight="1" x14ac:dyDescent="0.3">
      <c r="B12" s="20" t="s">
        <v>78</v>
      </c>
      <c r="C12" s="33">
        <f>PARAMETROS!C16</f>
        <v>0.03</v>
      </c>
    </row>
    <row r="13" spans="2:9" ht="18" customHeight="1" x14ac:dyDescent="0.3">
      <c r="B13" s="17" t="s">
        <v>79</v>
      </c>
      <c r="C13" s="34">
        <f>PARAMETROS!C17</f>
        <v>0.05</v>
      </c>
    </row>
    <row r="14" spans="2:9" ht="18" customHeight="1" x14ac:dyDescent="0.3">
      <c r="B14" s="20" t="s">
        <v>80</v>
      </c>
      <c r="C14" s="33">
        <f>PARAMETROS!C18</f>
        <v>0.02</v>
      </c>
    </row>
    <row r="17" spans="2:9" ht="24" customHeight="1" x14ac:dyDescent="0.3">
      <c r="B17" s="65" t="s">
        <v>81</v>
      </c>
      <c r="C17" s="65"/>
      <c r="D17" s="65"/>
      <c r="E17" s="65"/>
      <c r="F17" s="65"/>
      <c r="G17" s="65"/>
      <c r="H17" s="65"/>
      <c r="I17" s="65"/>
    </row>
    <row r="19" spans="2:9" ht="21.75" customHeight="1" x14ac:dyDescent="0.3">
      <c r="B19" s="6" t="s">
        <v>82</v>
      </c>
      <c r="C19" s="6" t="s">
        <v>83</v>
      </c>
      <c r="D19" s="6" t="s">
        <v>84</v>
      </c>
      <c r="E19" s="6" t="s">
        <v>85</v>
      </c>
      <c r="F19" s="6" t="s">
        <v>86</v>
      </c>
      <c r="G19" s="6" t="s">
        <v>87</v>
      </c>
      <c r="H19" s="6" t="s">
        <v>88</v>
      </c>
    </row>
    <row r="20" spans="2:9" ht="15.75" customHeight="1" x14ac:dyDescent="0.3">
      <c r="B20" s="7">
        <v>0</v>
      </c>
      <c r="C20" s="26">
        <f>PARAMETROS!$C$5+0</f>
        <v>20</v>
      </c>
      <c r="D20" s="8">
        <f>IFERROR(INDEX(TABLA_MORT!$C$4:$C$103,MATCH(C20,TABLA_MORT!$B$4:$B$103,0)),0)</f>
        <v>96536.338000000003</v>
      </c>
      <c r="E20" s="9">
        <f>IFERROR(INDEX(TABLA_MORT!$E$4:$E$103,MATCH(C20,TABLA_MORT!$B$4:$B$103,0)),0)</f>
        <v>5.62E-3</v>
      </c>
      <c r="F20" s="9">
        <f>IFERROR(D20/INDEX(TABLA_MORT!$C$4:$C$103,MATCH(PARAMETROS!$C$5,TABLA_MORT!$B$4:$B$103,0)),0)</f>
        <v>1</v>
      </c>
      <c r="G20" s="35">
        <f>IF(0&lt;PARAMETROS!$C$6,PARAMETROS!$C$12^(0+1)*F20*E20,0)</f>
        <v>5.3779904306220103E-3</v>
      </c>
      <c r="H20" s="35">
        <f>IF(0&lt;PARAMETROS!$C$6,PARAMETROS!$C$12^0*F20,0)</f>
        <v>1</v>
      </c>
    </row>
    <row r="21" spans="2:9" ht="15.75" customHeight="1" x14ac:dyDescent="0.3">
      <c r="B21" s="12">
        <v>1</v>
      </c>
      <c r="C21" s="27">
        <f>PARAMETROS!$C$5+1</f>
        <v>21</v>
      </c>
      <c r="D21" s="13">
        <f>IFERROR(INDEX(TABLA_MORT!$C$4:$C$103,MATCH(C21,TABLA_MORT!$B$4:$B$103,0)),0)</f>
        <v>95993.804000000004</v>
      </c>
      <c r="E21" s="14">
        <f>IFERROR(INDEX(TABLA_MORT!$E$4:$E$103,MATCH(C21,TABLA_MORT!$B$4:$B$103,0)),0)</f>
        <v>5.7607999999999999E-3</v>
      </c>
      <c r="F21" s="14">
        <f>IFERROR(D21/INDEX(TABLA_MORT!$C$4:$C$103,MATCH(PARAMETROS!$C$5,TABLA_MORT!$B$4:$B$103,0)),0)</f>
        <v>0.99438000227437673</v>
      </c>
      <c r="G21" s="36">
        <f>IF(1&lt;PARAMETROS!$C$6,PARAMETROS!$C$12^(1+1)*F21*E21,0)</f>
        <v>5.2456897205670483E-3</v>
      </c>
      <c r="H21" s="36">
        <f>IF(1&lt;PARAMETROS!$C$6,PARAMETROS!$C$12^1*F21,0)</f>
        <v>0.95155981078887741</v>
      </c>
    </row>
    <row r="22" spans="2:9" ht="15.75" customHeight="1" x14ac:dyDescent="0.3">
      <c r="B22" s="7">
        <v>2</v>
      </c>
      <c r="C22" s="26">
        <f>PARAMETROS!$C$5+2</f>
        <v>22</v>
      </c>
      <c r="D22" s="8">
        <f>IFERROR(INDEX(TABLA_MORT!$C$4:$C$103,MATCH(C22,TABLA_MORT!$B$4:$B$103,0)),0)</f>
        <v>95440.805999999997</v>
      </c>
      <c r="E22" s="9">
        <f>IFERROR(INDEX(TABLA_MORT!$E$4:$E$103,MATCH(C22,TABLA_MORT!$B$4:$B$103,0)),0)</f>
        <v>5.9050999999999999E-3</v>
      </c>
      <c r="F22" s="9">
        <f>IFERROR(D22/INDEX(TABLA_MORT!$C$4:$C$103,MATCH(PARAMETROS!$C$5,TABLA_MORT!$B$4:$B$103,0)),0)</f>
        <v>0.98865161013254921</v>
      </c>
      <c r="G22" s="35">
        <f>IF(2&lt;PARAMETROS!$C$6,PARAMETROS!$C$12^(2+1)*F22*E22,0)</f>
        <v>5.1158954819077885E-3</v>
      </c>
      <c r="H22" s="35">
        <f>IF(2&lt;PARAMETROS!$C$6,PARAMETROS!$C$12^2*F22,0)</f>
        <v>0.90533789073743687</v>
      </c>
    </row>
    <row r="23" spans="2:9" ht="15.75" customHeight="1" x14ac:dyDescent="0.3">
      <c r="B23" s="12">
        <v>3</v>
      </c>
      <c r="C23" s="27">
        <f>PARAMETROS!$C$5+3</f>
        <v>23</v>
      </c>
      <c r="D23" s="13">
        <f>IFERROR(INDEX(TABLA_MORT!$C$4:$C$103,MATCH(C23,TABLA_MORT!$B$4:$B$103,0)),0)</f>
        <v>94877.221999999994</v>
      </c>
      <c r="E23" s="14">
        <f>IFERROR(INDEX(TABLA_MORT!$E$4:$E$103,MATCH(C23,TABLA_MORT!$B$4:$B$103,0)),0)</f>
        <v>6.0530000000000002E-3</v>
      </c>
      <c r="F23" s="14">
        <f>IFERROR(D23/INDEX(TABLA_MORT!$C$4:$C$103,MATCH(PARAMETROS!$C$5,TABLA_MORT!$B$4:$B$103,0)),0)</f>
        <v>0.9828135598016986</v>
      </c>
      <c r="G23" s="36">
        <f>IF(3&lt;PARAMETROS!$C$6,PARAMETROS!$C$12^(3+1)*F23*E23,0)</f>
        <v>4.9885766765917312E-3</v>
      </c>
      <c r="H23" s="36">
        <f>IF(3&lt;PARAMETROS!$C$6,PARAMETROS!$C$12^3*F23,0)</f>
        <v>0.86123618487334519</v>
      </c>
    </row>
    <row r="24" spans="2:9" ht="15.75" customHeight="1" x14ac:dyDescent="0.3">
      <c r="B24" s="7">
        <v>4</v>
      </c>
      <c r="C24" s="26">
        <f>PARAMETROS!$C$5+4</f>
        <v>24</v>
      </c>
      <c r="D24" s="8">
        <f>IFERROR(INDEX(TABLA_MORT!$C$4:$C$103,MATCH(C24,TABLA_MORT!$B$4:$B$103,0)),0)</f>
        <v>94302.933000000005</v>
      </c>
      <c r="E24" s="9">
        <f>IFERROR(INDEX(TABLA_MORT!$E$4:$E$103,MATCH(C24,TABLA_MORT!$B$4:$B$103,0)),0)</f>
        <v>6.2046000000000002E-3</v>
      </c>
      <c r="F24" s="9">
        <f>IFERROR(D24/INDEX(TABLA_MORT!$C$4:$C$103,MATCH(PARAMETROS!$C$5,TABLA_MORT!$B$4:$B$103,0)),0)</f>
        <v>0.97686461858538698</v>
      </c>
      <c r="G24" s="35">
        <f>IF(4&lt;PARAMETROS!$C$6,PARAMETROS!$C$12^(4+1)*F24*E24,0)</f>
        <v>4.8636992956978577E-3</v>
      </c>
      <c r="H24" s="35">
        <f>IF(4&lt;PARAMETROS!$C$6,PARAMETROS!$C$12^4*F24,0)</f>
        <v>0.81916090706963562</v>
      </c>
    </row>
    <row r="25" spans="2:9" ht="15.75" customHeight="1" x14ac:dyDescent="0.3">
      <c r="B25" s="12">
        <v>5</v>
      </c>
      <c r="C25" s="27">
        <f>PARAMETROS!$C$5+5</f>
        <v>25</v>
      </c>
      <c r="D25" s="13">
        <f>IFERROR(INDEX(TABLA_MORT!$C$4:$C$103,MATCH(C25,TABLA_MORT!$B$4:$B$103,0)),0)</f>
        <v>93717.822</v>
      </c>
      <c r="E25" s="14">
        <f>IFERROR(INDEX(TABLA_MORT!$E$4:$E$103,MATCH(C25,TABLA_MORT!$B$4:$B$103,0)),0)</f>
        <v>6.3600000000000002E-3</v>
      </c>
      <c r="F25" s="14">
        <f>IFERROR(D25/INDEX(TABLA_MORT!$C$4:$C$103,MATCH(PARAMETROS!$C$5,TABLA_MORT!$B$4:$B$103,0)),0)</f>
        <v>0.97080357450476318</v>
      </c>
      <c r="G25" s="36">
        <f>IF(5&lt;PARAMETROS!$C$6,PARAMETROS!$C$12^(5+1)*F25*E25,0)</f>
        <v>4.7412268993287819E-3</v>
      </c>
      <c r="H25" s="36">
        <f>IF(5&lt;PARAMETROS!$C$6,PARAMETROS!$C$12^5*F25,0)</f>
        <v>0.77902234430795225</v>
      </c>
    </row>
    <row r="26" spans="2:9" ht="15.75" customHeight="1" x14ac:dyDescent="0.3">
      <c r="B26" s="7">
        <v>6</v>
      </c>
      <c r="C26" s="26">
        <f>PARAMETROS!$C$5+6</f>
        <v>26</v>
      </c>
      <c r="D26" s="8">
        <f>IFERROR(INDEX(TABLA_MORT!$C$4:$C$103,MATCH(C26,TABLA_MORT!$B$4:$B$103,0)),0)</f>
        <v>93121.775999999998</v>
      </c>
      <c r="E26" s="9">
        <f>IFERROR(INDEX(TABLA_MORT!$E$4:$E$103,MATCH(C26,TABLA_MORT!$B$4:$B$103,0)),0)</f>
        <v>6.5801999999999996E-3</v>
      </c>
      <c r="F26" s="9">
        <f>IFERROR(D26/INDEX(TABLA_MORT!$C$4:$C$103,MATCH(PARAMETROS!$C$5,TABLA_MORT!$B$4:$B$103,0)),0)</f>
        <v>0.96462925701615065</v>
      </c>
      <c r="G26" s="35">
        <f>IF(6&lt;PARAMETROS!$C$6,PARAMETROS!$C$12^(6+1)*F26*E26,0)</f>
        <v>4.6642894193349048E-3</v>
      </c>
      <c r="H26" s="35">
        <f>IF(6&lt;PARAMETROS!$C$6,PARAMETROS!$C$12^6*F26,0)</f>
        <v>0.74073469548113668</v>
      </c>
    </row>
    <row r="27" spans="2:9" ht="15.75" customHeight="1" x14ac:dyDescent="0.3">
      <c r="B27" s="12">
        <v>7</v>
      </c>
      <c r="C27" s="27">
        <f>PARAMETROS!$C$5+7</f>
        <v>27</v>
      </c>
      <c r="D27" s="13">
        <f>IFERROR(INDEX(TABLA_MORT!$C$4:$C$103,MATCH(C27,TABLA_MORT!$B$4:$B$103,0)),0)</f>
        <v>92509.014999999999</v>
      </c>
      <c r="E27" s="14">
        <f>IFERROR(INDEX(TABLA_MORT!$E$4:$E$103,MATCH(C27,TABLA_MORT!$B$4:$B$103,0)),0)</f>
        <v>6.8081000000000001E-3</v>
      </c>
      <c r="F27" s="14">
        <f>IFERROR(D27/INDEX(TABLA_MORT!$C$4:$C$103,MATCH(PARAMETROS!$C$5,TABLA_MORT!$B$4:$B$103,0)),0)</f>
        <v>0.95828179229255617</v>
      </c>
      <c r="G27" s="36">
        <f>IF(7&lt;PARAMETROS!$C$6,PARAMETROS!$C$12^(7+1)*F27*E27,0)</f>
        <v>4.5876348067199237E-3</v>
      </c>
      <c r="H27" s="36">
        <f>IF(7&lt;PARAMETROS!$C$6,PARAMETROS!$C$12^7*F27,0)</f>
        <v>0.70417273145551906</v>
      </c>
    </row>
    <row r="28" spans="2:9" ht="15.75" customHeight="1" x14ac:dyDescent="0.3">
      <c r="B28" s="7">
        <v>8</v>
      </c>
      <c r="C28" s="26">
        <f>PARAMETROS!$C$5+8</f>
        <v>28</v>
      </c>
      <c r="D28" s="8">
        <f>IFERROR(INDEX(TABLA_MORT!$C$4:$C$103,MATCH(C28,TABLA_MORT!$B$4:$B$103,0)),0)</f>
        <v>91879.209000000003</v>
      </c>
      <c r="E28" s="9">
        <f>IFERROR(INDEX(TABLA_MORT!$E$4:$E$103,MATCH(C28,TABLA_MORT!$B$4:$B$103,0)),0)</f>
        <v>7.0438000000000002E-3</v>
      </c>
      <c r="F28" s="9">
        <f>IFERROR(D28/INDEX(TABLA_MORT!$C$4:$C$103,MATCH(PARAMETROS!$C$5,TABLA_MORT!$B$4:$B$103,0)),0)</f>
        <v>0.95175776193209238</v>
      </c>
      <c r="G28" s="35">
        <f>IF(8&lt;PARAMETROS!$C$6,PARAMETROS!$C$12^(8+1)*F28*E28,0)</f>
        <v>4.5111454449871316E-3</v>
      </c>
      <c r="H28" s="35">
        <f>IF(8&lt;PARAMETROS!$C$6,PARAMETROS!$C$12^8*F28,0)</f>
        <v>0.66926190266781449</v>
      </c>
    </row>
    <row r="29" spans="2:9" ht="15.75" customHeight="1" x14ac:dyDescent="0.3">
      <c r="B29" s="12">
        <v>9</v>
      </c>
      <c r="C29" s="27">
        <f>PARAMETROS!$C$5+9</f>
        <v>29</v>
      </c>
      <c r="D29" s="13">
        <f>IFERROR(INDEX(TABLA_MORT!$C$4:$C$103,MATCH(C29,TABLA_MORT!$B$4:$B$103,0)),0)</f>
        <v>91232.032000000007</v>
      </c>
      <c r="E29" s="14">
        <f>IFERROR(INDEX(TABLA_MORT!$E$4:$E$103,MATCH(C29,TABLA_MORT!$B$4:$B$103,0)),0)</f>
        <v>7.2877000000000003E-3</v>
      </c>
      <c r="F29" s="14">
        <f>IFERROR(D29/INDEX(TABLA_MORT!$C$4:$C$103,MATCH(PARAMETROS!$C$5,TABLA_MORT!$B$4:$B$103,0)),0)</f>
        <v>0.94505378896804648</v>
      </c>
      <c r="G29" s="36">
        <f>IF(9&lt;PARAMETROS!$C$6,PARAMETROS!$C$12^(9+1)*F29*E29,0)</f>
        <v>4.4349028393470954E-3</v>
      </c>
      <c r="H29" s="36">
        <f>IF(9&lt;PARAMETROS!$C$6,PARAMETROS!$C$12^9*F29,0)</f>
        <v>0.6359308790314796</v>
      </c>
    </row>
    <row r="30" spans="2:9" ht="15.75" customHeight="1" x14ac:dyDescent="0.3">
      <c r="B30" s="7">
        <v>10</v>
      </c>
      <c r="C30" s="26">
        <f>PARAMETROS!$C$5+10</f>
        <v>30</v>
      </c>
      <c r="D30" s="8">
        <f>IFERROR(INDEX(TABLA_MORT!$C$4:$C$103,MATCH(C30,TABLA_MORT!$B$4:$B$103,0)),0)</f>
        <v>90567.164000000004</v>
      </c>
      <c r="E30" s="9">
        <f>IFERROR(INDEX(TABLA_MORT!$E$4:$E$103,MATCH(C30,TABLA_MORT!$B$4:$B$103,0)),0)</f>
        <v>7.5399999999999998E-3</v>
      </c>
      <c r="F30" s="9">
        <f>IFERROR(D30/INDEX(TABLA_MORT!$C$4:$C$103,MATCH(PARAMETROS!$C$5,TABLA_MORT!$B$4:$B$103,0)),0)</f>
        <v>0.93816655858646725</v>
      </c>
      <c r="G30" s="35">
        <f>IF(10&lt;PARAMETROS!$C$6,PARAMETROS!$C$12^(10+1)*F30*E30,0)</f>
        <v>4.3588517582892807E-3</v>
      </c>
      <c r="H30" s="35">
        <f>IF(10&lt;PARAMETROS!$C$6,PARAMETROS!$C$12^10*F30,0)</f>
        <v>0.60411141742868668</v>
      </c>
    </row>
    <row r="31" spans="2:9" ht="15.75" customHeight="1" x14ac:dyDescent="0.3">
      <c r="B31" s="12">
        <v>11</v>
      </c>
      <c r="C31" s="27">
        <f>PARAMETROS!$C$5+11</f>
        <v>31</v>
      </c>
      <c r="D31" s="13">
        <f>IFERROR(INDEX(TABLA_MORT!$C$4:$C$103,MATCH(C31,TABLA_MORT!$B$4:$B$103,0)),0)</f>
        <v>89884.286999999997</v>
      </c>
      <c r="E31" s="14">
        <f>IFERROR(INDEX(TABLA_MORT!$E$4:$E$103,MATCH(C31,TABLA_MORT!$B$4:$B$103,0)),0)</f>
        <v>7.9033000000000003E-3</v>
      </c>
      <c r="F31" s="14">
        <f>IFERROR(D31/INDEX(TABLA_MORT!$C$4:$C$103,MATCH(PARAMETROS!$C$5,TABLA_MORT!$B$4:$B$103,0)),0)</f>
        <v>0.93109277669099066</v>
      </c>
      <c r="G31" s="36">
        <f>IF(11&lt;PARAMETROS!$C$6,PARAMETROS!$C$12^(11+1)*F31*E31,0)</f>
        <v>4.339162750317805E-3</v>
      </c>
      <c r="H31" s="36">
        <f>IF(11&lt;PARAMETROS!$C$6,PARAMETROS!$C$12^11*F31,0)</f>
        <v>0.57373819468856124</v>
      </c>
    </row>
    <row r="32" spans="2:9" ht="15.75" customHeight="1" x14ac:dyDescent="0.3">
      <c r="B32" s="7">
        <v>12</v>
      </c>
      <c r="C32" s="26">
        <f>PARAMETROS!$C$5+12</f>
        <v>32</v>
      </c>
      <c r="D32" s="8">
        <f>IFERROR(INDEX(TABLA_MORT!$C$4:$C$103,MATCH(C32,TABLA_MORT!$B$4:$B$103,0)),0)</f>
        <v>89173.907999999996</v>
      </c>
      <c r="E32" s="9">
        <f>IFERROR(INDEX(TABLA_MORT!$E$4:$E$103,MATCH(C32,TABLA_MORT!$B$4:$B$103,0)),0)</f>
        <v>8.2839999999999997E-3</v>
      </c>
      <c r="F32" s="9">
        <f>IFERROR(D32/INDEX(TABLA_MORT!$C$4:$C$103,MATCH(PARAMETROS!$C$5,TABLA_MORT!$B$4:$B$103,0)),0)</f>
        <v>0.92373410725399585</v>
      </c>
      <c r="G32" s="35">
        <f>IF(12&lt;PARAMETROS!$C$6,PARAMETROS!$C$12^(12+1)*F32*E32,0)</f>
        <v>4.3179269813307559E-3</v>
      </c>
      <c r="H32" s="35">
        <f>IF(12&lt;PARAMETROS!$C$6,PARAMETROS!$C$12^12*F32,0)</f>
        <v>0.54469262379172378</v>
      </c>
    </row>
    <row r="33" spans="2:8" ht="15.75" customHeight="1" x14ac:dyDescent="0.3">
      <c r="B33" s="12">
        <v>13</v>
      </c>
      <c r="C33" s="27">
        <f>PARAMETROS!$C$5+13</f>
        <v>33</v>
      </c>
      <c r="D33" s="13">
        <f>IFERROR(INDEX(TABLA_MORT!$C$4:$C$103,MATCH(C33,TABLA_MORT!$B$4:$B$103,0)),0)</f>
        <v>88435.187000000005</v>
      </c>
      <c r="E33" s="14">
        <f>IFERROR(INDEX(TABLA_MORT!$E$4:$E$103,MATCH(C33,TABLA_MORT!$B$4:$B$103,0)),0)</f>
        <v>8.6832000000000003E-3</v>
      </c>
      <c r="F33" s="14">
        <f>IFERROR(D33/INDEX(TABLA_MORT!$C$4:$C$103,MATCH(PARAMETROS!$C$5,TABLA_MORT!$B$4:$B$103,0)),0)</f>
        <v>0.91608184888886091</v>
      </c>
      <c r="G33" s="36">
        <f>IF(13&lt;PARAMETROS!$C$6,PARAMETROS!$C$12^(13+1)*F33*E33,0)</f>
        <v>4.2952259634809658E-3</v>
      </c>
      <c r="H33" s="36">
        <f>IF(13&lt;PARAMETROS!$C$6,PARAMETROS!$C$12^13*F33,0)</f>
        <v>0.5169190081810402</v>
      </c>
    </row>
    <row r="34" spans="2:8" ht="15.75" customHeight="1" x14ac:dyDescent="0.3">
      <c r="B34" s="7">
        <v>14</v>
      </c>
      <c r="C34" s="26">
        <f>PARAMETROS!$C$5+14</f>
        <v>34</v>
      </c>
      <c r="D34" s="8">
        <f>IFERROR(INDEX(TABLA_MORT!$C$4:$C$103,MATCH(C34,TABLA_MORT!$B$4:$B$103,0)),0)</f>
        <v>87667.290999999997</v>
      </c>
      <c r="E34" s="9">
        <f>IFERROR(INDEX(TABLA_MORT!$E$4:$E$103,MATCH(C34,TABLA_MORT!$B$4:$B$103,0)),0)</f>
        <v>9.1015000000000002E-3</v>
      </c>
      <c r="F34" s="9">
        <f>IFERROR(D34/INDEX(TABLA_MORT!$C$4:$C$103,MATCH(PARAMETROS!$C$5,TABLA_MORT!$B$4:$B$103,0)),0)</f>
        <v>0.90812737272051891</v>
      </c>
      <c r="G34" s="35">
        <f>IF(14&lt;PARAMETROS!$C$6,PARAMETROS!$C$12^(14+1)*F34*E34,0)</f>
        <v>4.2708604691385141E-3</v>
      </c>
      <c r="H34" s="35">
        <f>IF(14&lt;PARAMETROS!$C$6,PARAMETROS!$C$12^14*F34,0)</f>
        <v>0.49036413670820717</v>
      </c>
    </row>
    <row r="35" spans="2:8" ht="15.75" customHeight="1" x14ac:dyDescent="0.3">
      <c r="B35" s="12">
        <v>15</v>
      </c>
      <c r="C35" s="27">
        <f>PARAMETROS!$C$5+15</f>
        <v>35</v>
      </c>
      <c r="D35" s="13">
        <f>IFERROR(INDEX(TABLA_MORT!$C$4:$C$103,MATCH(C35,TABLA_MORT!$B$4:$B$103,0)),0)</f>
        <v>86869.387000000002</v>
      </c>
      <c r="E35" s="14">
        <f>IFERROR(INDEX(TABLA_MORT!$E$4:$E$103,MATCH(C35,TABLA_MORT!$B$4:$B$103,0)),0)</f>
        <v>9.5399999999999999E-3</v>
      </c>
      <c r="F35" s="14">
        <f>IFERROR(D35/INDEX(TABLA_MORT!$C$4:$C$103,MATCH(PARAMETROS!$C$5,TABLA_MORT!$B$4:$B$103,0)),0)</f>
        <v>0.89986204987390339</v>
      </c>
      <c r="G35" s="36">
        <f>IF(15&lt;PARAMETROS!$C$6,PARAMETROS!$C$12^(15+1)*F35*E35,0)</f>
        <v>4.244862861990932E-3</v>
      </c>
      <c r="H35" s="36">
        <f>IF(15&lt;PARAMETROS!$C$6,PARAMETROS!$C$12^15*F35,0)</f>
        <v>0.46497711643401723</v>
      </c>
    </row>
    <row r="36" spans="2:8" ht="15.75" customHeight="1" x14ac:dyDescent="0.3">
      <c r="B36" s="7">
        <v>16</v>
      </c>
      <c r="C36" s="26">
        <f>PARAMETROS!$C$5+16</f>
        <v>36</v>
      </c>
      <c r="D36" s="8">
        <f>IFERROR(INDEX(TABLA_MORT!$C$4:$C$103,MATCH(C36,TABLA_MORT!$B$4:$B$103,0)),0)</f>
        <v>86040.653000000006</v>
      </c>
      <c r="E36" s="9">
        <f>IFERROR(INDEX(TABLA_MORT!$E$4:$E$103,MATCH(C36,TABLA_MORT!$B$4:$B$103,0)),0)</f>
        <v>1.0097E-2</v>
      </c>
      <c r="F36" s="9">
        <f>IFERROR(D36/INDEX(TABLA_MORT!$C$4:$C$103,MATCH(PARAMETROS!$C$5,TABLA_MORT!$B$4:$B$103,0)),0)</f>
        <v>0.89127736542067715</v>
      </c>
      <c r="G36" s="35">
        <f>IF(16&lt;PARAMETROS!$C$6,PARAMETROS!$C$12^(16+1)*F36*E36,0)</f>
        <v>4.2582219680018423E-3</v>
      </c>
      <c r="H36" s="35">
        <f>IF(16&lt;PARAMETROS!$C$6,PARAMETROS!$C$12^16*F36,0)</f>
        <v>0.44070931529780372</v>
      </c>
    </row>
    <row r="37" spans="2:8" ht="15.75" customHeight="1" x14ac:dyDescent="0.3">
      <c r="B37" s="12">
        <v>17</v>
      </c>
      <c r="C37" s="27">
        <f>PARAMETROS!$C$5+17</f>
        <v>37</v>
      </c>
      <c r="D37" s="13">
        <f>IFERROR(INDEX(TABLA_MORT!$C$4:$C$103,MATCH(C37,TABLA_MORT!$B$4:$B$103,0)),0)</f>
        <v>85171.896999999997</v>
      </c>
      <c r="E37" s="14">
        <f>IFERROR(INDEX(TABLA_MORT!$E$4:$E$103,MATCH(C37,TABLA_MORT!$B$4:$B$103,0)),0)</f>
        <v>1.0686599999999999E-2</v>
      </c>
      <c r="F37" s="14">
        <f>IFERROR(D37/INDEX(TABLA_MORT!$C$4:$C$103,MATCH(PARAMETROS!$C$5,TABLA_MORT!$B$4:$B$103,0)),0)</f>
        <v>0.88227810133009188</v>
      </c>
      <c r="G37" s="36">
        <f>IF(17&lt;PARAMETROS!$C$6,PARAMETROS!$C$12^(17+1)*F37*E37,0)</f>
        <v>4.2692523474889563E-3</v>
      </c>
      <c r="H37" s="36">
        <f>IF(17&lt;PARAMETROS!$C$6,PARAMETROS!$C$12^17*F37,0)</f>
        <v>0.41747316294480558</v>
      </c>
    </row>
    <row r="38" spans="2:8" ht="15.75" customHeight="1" x14ac:dyDescent="0.3">
      <c r="B38" s="7">
        <v>18</v>
      </c>
      <c r="C38" s="26">
        <f>PARAMETROS!$C$5+18</f>
        <v>38</v>
      </c>
      <c r="D38" s="8">
        <f>IFERROR(INDEX(TABLA_MORT!$C$4:$C$103,MATCH(C38,TABLA_MORT!$B$4:$B$103,0)),0)</f>
        <v>84261.698999999993</v>
      </c>
      <c r="E38" s="9">
        <f>IFERROR(INDEX(TABLA_MORT!$E$4:$E$103,MATCH(C38,TABLA_MORT!$B$4:$B$103,0)),0)</f>
        <v>1.1310600000000001E-2</v>
      </c>
      <c r="F38" s="9">
        <f>IFERROR(D38/INDEX(TABLA_MORT!$C$4:$C$103,MATCH(PARAMETROS!$C$5,TABLA_MORT!$B$4:$B$103,0)),0)</f>
        <v>0.87284954811523918</v>
      </c>
      <c r="G38" s="35">
        <f>IF(18&lt;PARAMETROS!$C$6,PARAMETROS!$C$12^(18+1)*F38*E38,0)</f>
        <v>4.2777511500596858E-3</v>
      </c>
      <c r="H38" s="35">
        <f>IF(18&lt;PARAMETROS!$C$6,PARAMETROS!$C$12^18*F38,0)</f>
        <v>0.39522659733456855</v>
      </c>
    </row>
    <row r="39" spans="2:8" ht="15.75" customHeight="1" x14ac:dyDescent="0.3">
      <c r="B39" s="12">
        <v>19</v>
      </c>
      <c r="C39" s="27">
        <f>PARAMETROS!$C$5+19</f>
        <v>39</v>
      </c>
      <c r="D39" s="13">
        <f>IFERROR(INDEX(TABLA_MORT!$C$4:$C$103,MATCH(C39,TABLA_MORT!$B$4:$B$103,0)),0)</f>
        <v>83308.649999999994</v>
      </c>
      <c r="E39" s="14">
        <f>IFERROR(INDEX(TABLA_MORT!$E$4:$E$103,MATCH(C39,TABLA_MORT!$B$4:$B$103,0)),0)</f>
        <v>1.1971000000000001E-2</v>
      </c>
      <c r="F39" s="14">
        <f>IFERROR(D39/INDEX(TABLA_MORT!$C$4:$C$103,MATCH(PARAMETROS!$C$5,TABLA_MORT!$B$4:$B$103,0)),0)</f>
        <v>0.86297711023594026</v>
      </c>
      <c r="G39" s="36">
        <f>IF(19&lt;PARAMETROS!$C$6,PARAMETROS!$C$12^(19+1)*F39*E39,0)</f>
        <v>4.2835505703587452E-3</v>
      </c>
      <c r="H39" s="36">
        <f>IF(19&lt;PARAMETROS!$C$6,PARAMETROS!$C$12^19*F39,0)</f>
        <v>0.37392952518794487</v>
      </c>
    </row>
    <row r="40" spans="2:8" ht="15.75" customHeight="1" x14ac:dyDescent="0.3">
      <c r="B40" s="7">
        <v>20</v>
      </c>
      <c r="C40" s="26">
        <f>PARAMETROS!$C$5+20</f>
        <v>40</v>
      </c>
      <c r="D40" s="8">
        <f>IFERROR(INDEX(TABLA_MORT!$C$4:$C$103,MATCH(C40,TABLA_MORT!$B$4:$B$103,0)),0)</f>
        <v>82311.360000000001</v>
      </c>
      <c r="E40" s="9">
        <f>IFERROR(INDEX(TABLA_MORT!$E$4:$E$103,MATCH(C40,TABLA_MORT!$B$4:$B$103,0)),0)</f>
        <v>1.2670000000000001E-2</v>
      </c>
      <c r="F40" s="9">
        <f>IFERROR(D40/INDEX(TABLA_MORT!$C$4:$C$103,MATCH(PARAMETROS!$C$5,TABLA_MORT!$B$4:$B$103,0)),0)</f>
        <v>0.85264638896909473</v>
      </c>
      <c r="G40" s="35">
        <f>IF(20&lt;PARAMETROS!$C$6,PARAMETROS!$C$12^(20+1)*F40*E40,0)</f>
        <v>0</v>
      </c>
      <c r="H40" s="35">
        <f>IF(20&lt;PARAMETROS!$C$6,PARAMETROS!$C$12^20*F40,0)</f>
        <v>0</v>
      </c>
    </row>
    <row r="41" spans="2:8" ht="15.75" customHeight="1" x14ac:dyDescent="0.3">
      <c r="B41" s="12">
        <v>21</v>
      </c>
      <c r="C41" s="27">
        <f>PARAMETROS!$C$5+21</f>
        <v>41</v>
      </c>
      <c r="D41" s="13">
        <f>IFERROR(INDEX(TABLA_MORT!$C$4:$C$103,MATCH(C41,TABLA_MORT!$B$4:$B$103,0)),0)</f>
        <v>81268.475999999995</v>
      </c>
      <c r="E41" s="14">
        <f>IFERROR(INDEX(TABLA_MORT!$E$4:$E$103,MATCH(C41,TABLA_MORT!$B$4:$B$103,0)),0)</f>
        <v>1.3530800000000001E-2</v>
      </c>
      <c r="F41" s="14">
        <f>IFERROR(D41/INDEX(TABLA_MORT!$C$4:$C$103,MATCH(PARAMETROS!$C$5,TABLA_MORT!$B$4:$B$103,0)),0)</f>
        <v>0.84184336886696476</v>
      </c>
      <c r="G41" s="36">
        <f>IF(21&lt;PARAMETROS!$C$6,PARAMETROS!$C$12^(21+1)*F41*E41,0)</f>
        <v>0</v>
      </c>
      <c r="H41" s="36">
        <f>IF(21&lt;PARAMETROS!$C$6,PARAMETROS!$C$12^21*F41,0)</f>
        <v>0</v>
      </c>
    </row>
    <row r="42" spans="2:8" ht="15.75" customHeight="1" x14ac:dyDescent="0.3">
      <c r="B42" s="7">
        <v>22</v>
      </c>
      <c r="C42" s="26">
        <f>PARAMETROS!$C$5+22</f>
        <v>42</v>
      </c>
      <c r="D42" s="8">
        <f>IFERROR(INDEX(TABLA_MORT!$C$4:$C$103,MATCH(C42,TABLA_MORT!$B$4:$B$103,0)),0)</f>
        <v>80168.846999999994</v>
      </c>
      <c r="E42" s="9">
        <f>IFERROR(INDEX(TABLA_MORT!$E$4:$E$103,MATCH(C42,TABLA_MORT!$B$4:$B$103,0)),0)</f>
        <v>1.44501E-2</v>
      </c>
      <c r="F42" s="9">
        <f>IFERROR(D42/INDEX(TABLA_MORT!$C$4:$C$103,MATCH(PARAMETROS!$C$5,TABLA_MORT!$B$4:$B$103,0)),0)</f>
        <v>0.83045253902214511</v>
      </c>
      <c r="G42" s="35">
        <f>IF(22&lt;PARAMETROS!$C$6,PARAMETROS!$C$12^(22+1)*F42*E42,0)</f>
        <v>0</v>
      </c>
      <c r="H42" s="35">
        <f>IF(22&lt;PARAMETROS!$C$6,PARAMETROS!$C$12^22*F42,0)</f>
        <v>0</v>
      </c>
    </row>
    <row r="43" spans="2:8" ht="15.75" customHeight="1" x14ac:dyDescent="0.3">
      <c r="B43" s="12">
        <v>23</v>
      </c>
      <c r="C43" s="27">
        <f>PARAMETROS!$C$5+23</f>
        <v>43</v>
      </c>
      <c r="D43" s="13">
        <f>IFERROR(INDEX(TABLA_MORT!$C$4:$C$103,MATCH(C43,TABLA_MORT!$B$4:$B$103,0)),0)</f>
        <v>79010.399000000005</v>
      </c>
      <c r="E43" s="14">
        <f>IFERROR(INDEX(TABLA_MORT!$E$4:$E$103,MATCH(C43,TABLA_MORT!$B$4:$B$103,0)),0)</f>
        <v>1.54319E-2</v>
      </c>
      <c r="F43" s="14">
        <f>IFERROR(D43/INDEX(TABLA_MORT!$C$4:$C$103,MATCH(PARAMETROS!$C$5,TABLA_MORT!$B$4:$B$103,0)),0)</f>
        <v>0.81845241529671453</v>
      </c>
      <c r="G43" s="36">
        <f>IF(23&lt;PARAMETROS!$C$6,PARAMETROS!$C$12^(23+1)*F43*E43,0)</f>
        <v>0</v>
      </c>
      <c r="H43" s="36">
        <f>IF(23&lt;PARAMETROS!$C$6,PARAMETROS!$C$12^23*F43,0)</f>
        <v>0</v>
      </c>
    </row>
    <row r="44" spans="2:8" ht="15.75" customHeight="1" x14ac:dyDescent="0.3">
      <c r="B44" s="7">
        <v>24</v>
      </c>
      <c r="C44" s="26">
        <f>PARAMETROS!$C$5+24</f>
        <v>44</v>
      </c>
      <c r="D44" s="8">
        <f>IFERROR(INDEX(TABLA_MORT!$C$4:$C$103,MATCH(C44,TABLA_MORT!$B$4:$B$103,0)),0)</f>
        <v>77791.120999999999</v>
      </c>
      <c r="E44" s="9">
        <f>IFERROR(INDEX(TABLA_MORT!$E$4:$E$103,MATCH(C44,TABLA_MORT!$B$4:$B$103,0)),0)</f>
        <v>1.64803E-2</v>
      </c>
      <c r="F44" s="9">
        <f>IFERROR(D44/INDEX(TABLA_MORT!$C$4:$C$103,MATCH(PARAMETROS!$C$5,TABLA_MORT!$B$4:$B$103,0)),0)</f>
        <v>0.80582216615674807</v>
      </c>
      <c r="G44" s="35">
        <f>IF(24&lt;PARAMETROS!$C$6,PARAMETROS!$C$12^(24+1)*F44*E44,0)</f>
        <v>0</v>
      </c>
      <c r="H44" s="35">
        <f>IF(24&lt;PARAMETROS!$C$6,PARAMETROS!$C$12^24*F44,0)</f>
        <v>0</v>
      </c>
    </row>
    <row r="45" spans="2:8" ht="15.75" customHeight="1" x14ac:dyDescent="0.3">
      <c r="B45" s="12">
        <v>25</v>
      </c>
      <c r="C45" s="27">
        <f>PARAMETROS!$C$5+25</f>
        <v>45</v>
      </c>
      <c r="D45" s="13">
        <f>IFERROR(INDEX(TABLA_MORT!$C$4:$C$103,MATCH(C45,TABLA_MORT!$B$4:$B$103,0)),0)</f>
        <v>76509.099000000002</v>
      </c>
      <c r="E45" s="14">
        <f>IFERROR(INDEX(TABLA_MORT!$E$4:$E$103,MATCH(C45,TABLA_MORT!$B$4:$B$103,0)),0)</f>
        <v>1.7600000000000001E-2</v>
      </c>
      <c r="F45" s="14">
        <f>IFERROR(D45/INDEX(TABLA_MORT!$C$4:$C$103,MATCH(PARAMETROS!$C$5,TABLA_MORT!$B$4:$B$103,0)),0)</f>
        <v>0.79254196487130057</v>
      </c>
      <c r="G45" s="36">
        <f>IF(25&lt;PARAMETROS!$C$6,PARAMETROS!$C$12^(25+1)*F45*E45,0)</f>
        <v>0</v>
      </c>
      <c r="H45" s="36">
        <f>IF(25&lt;PARAMETROS!$C$6,PARAMETROS!$C$12^25*F45,0)</f>
        <v>0</v>
      </c>
    </row>
    <row r="46" spans="2:8" ht="15.75" customHeight="1" x14ac:dyDescent="0.3">
      <c r="B46" s="7">
        <v>26</v>
      </c>
      <c r="C46" s="26">
        <f>PARAMETROS!$C$5+26</f>
        <v>46</v>
      </c>
      <c r="D46" s="8">
        <f>IFERROR(INDEX(TABLA_MORT!$C$4:$C$103,MATCH(C46,TABLA_MORT!$B$4:$B$103,0)),0)</f>
        <v>75162.539000000004</v>
      </c>
      <c r="E46" s="9">
        <f>IFERROR(INDEX(TABLA_MORT!$E$4:$E$103,MATCH(C46,TABLA_MORT!$B$4:$B$103,0)),0)</f>
        <v>1.8867700000000001E-2</v>
      </c>
      <c r="F46" s="9">
        <f>IFERROR(D46/INDEX(TABLA_MORT!$C$4:$C$103,MATCH(PARAMETROS!$C$5,TABLA_MORT!$B$4:$B$103,0)),0)</f>
        <v>0.77859322776465789</v>
      </c>
      <c r="G46" s="35">
        <f>IF(26&lt;PARAMETROS!$C$6,PARAMETROS!$C$12^(26+1)*F46*E46,0)</f>
        <v>0</v>
      </c>
      <c r="H46" s="35">
        <f>IF(26&lt;PARAMETROS!$C$6,PARAMETROS!$C$12^26*F46,0)</f>
        <v>0</v>
      </c>
    </row>
    <row r="47" spans="2:8" ht="15.75" customHeight="1" x14ac:dyDescent="0.3">
      <c r="B47" s="12">
        <v>27</v>
      </c>
      <c r="C47" s="27">
        <f>PARAMETROS!$C$5+27</f>
        <v>47</v>
      </c>
      <c r="D47" s="13">
        <f>IFERROR(INDEX(TABLA_MORT!$C$4:$C$103,MATCH(C47,TABLA_MORT!$B$4:$B$103,0)),0)</f>
        <v>73744.392000000007</v>
      </c>
      <c r="E47" s="14">
        <f>IFERROR(INDEX(TABLA_MORT!$E$4:$E$103,MATCH(C47,TABLA_MORT!$B$4:$B$103,0)),0)</f>
        <v>2.02268E-2</v>
      </c>
      <c r="F47" s="14">
        <f>IFERROR(D47/INDEX(TABLA_MORT!$C$4:$C$103,MATCH(PARAMETROS!$C$5,TABLA_MORT!$B$4:$B$103,0)),0)</f>
        <v>0.76390293570075141</v>
      </c>
      <c r="G47" s="36">
        <f>IF(27&lt;PARAMETROS!$C$6,PARAMETROS!$C$12^(27+1)*F47*E47,0)</f>
        <v>0</v>
      </c>
      <c r="H47" s="36">
        <f>IF(27&lt;PARAMETROS!$C$6,PARAMETROS!$C$12^27*F47,0)</f>
        <v>0</v>
      </c>
    </row>
    <row r="48" spans="2:8" ht="15.75" customHeight="1" x14ac:dyDescent="0.3">
      <c r="B48" s="7">
        <v>28</v>
      </c>
      <c r="C48" s="26">
        <f>PARAMETROS!$C$5+28</f>
        <v>48</v>
      </c>
      <c r="D48" s="8">
        <f>IFERROR(INDEX(TABLA_MORT!$C$4:$C$103,MATCH(C48,TABLA_MORT!$B$4:$B$103,0)),0)</f>
        <v>72252.781000000003</v>
      </c>
      <c r="E48" s="9">
        <f>IFERROR(INDEX(TABLA_MORT!$E$4:$E$103,MATCH(C48,TABLA_MORT!$B$4:$B$103,0)),0)</f>
        <v>2.16837E-2</v>
      </c>
      <c r="F48" s="9">
        <f>IFERROR(D48/INDEX(TABLA_MORT!$C$4:$C$103,MATCH(PARAMETROS!$C$5,TABLA_MORT!$B$4:$B$103,0)),0)</f>
        <v>0.74845164522399843</v>
      </c>
      <c r="G48" s="35">
        <f>IF(28&lt;PARAMETROS!$C$6,PARAMETROS!$C$12^(28+1)*F48*E48,0)</f>
        <v>0</v>
      </c>
      <c r="H48" s="35">
        <f>IF(28&lt;PARAMETROS!$C$6,PARAMETROS!$C$12^28*F48,0)</f>
        <v>0</v>
      </c>
    </row>
    <row r="49" spans="2:8" ht="15.75" customHeight="1" x14ac:dyDescent="0.3">
      <c r="B49" s="12">
        <v>29</v>
      </c>
      <c r="C49" s="27">
        <f>PARAMETROS!$C$5+29</f>
        <v>49</v>
      </c>
      <c r="D49" s="13">
        <f>IFERROR(INDEX(TABLA_MORT!$C$4:$C$103,MATCH(C49,TABLA_MORT!$B$4:$B$103,0)),0)</f>
        <v>70686.070999999996</v>
      </c>
      <c r="E49" s="14">
        <f>IFERROR(INDEX(TABLA_MORT!$E$4:$E$103,MATCH(C49,TABLA_MORT!$B$4:$B$103,0)),0)</f>
        <v>2.3245600000000002E-2</v>
      </c>
      <c r="F49" s="14">
        <f>IFERROR(D49/INDEX(TABLA_MORT!$C$4:$C$103,MATCH(PARAMETROS!$C$5,TABLA_MORT!$B$4:$B$103,0)),0)</f>
        <v>0.73222241970686719</v>
      </c>
      <c r="G49" s="36">
        <f>IF(29&lt;PARAMETROS!$C$6,PARAMETROS!$C$12^(29+1)*F49*E49,0)</f>
        <v>0</v>
      </c>
      <c r="H49" s="36">
        <f>IF(29&lt;PARAMETROS!$C$6,PARAMETROS!$C$12^29*F49,0)</f>
        <v>0</v>
      </c>
    </row>
    <row r="50" spans="2:8" ht="15.75" customHeight="1" x14ac:dyDescent="0.3">
      <c r="B50" s="7">
        <v>30</v>
      </c>
      <c r="C50" s="26">
        <f>PARAMETROS!$C$5+30</f>
        <v>50</v>
      </c>
      <c r="D50" s="8">
        <f>IFERROR(INDEX(TABLA_MORT!$C$4:$C$103,MATCH(C50,TABLA_MORT!$B$4:$B$103,0)),0)</f>
        <v>69042.929999999993</v>
      </c>
      <c r="E50" s="9">
        <f>IFERROR(INDEX(TABLA_MORT!$E$4:$E$103,MATCH(C50,TABLA_MORT!$B$4:$B$103,0)),0)</f>
        <v>2.4920000000000001E-2</v>
      </c>
      <c r="F50" s="9">
        <f>IFERROR(D50/INDEX(TABLA_MORT!$C$4:$C$103,MATCH(PARAMETROS!$C$5,TABLA_MORT!$B$4:$B$103,0)),0)</f>
        <v>0.71520146123628592</v>
      </c>
      <c r="G50" s="35">
        <f>IF(30&lt;PARAMETROS!$C$6,PARAMETROS!$C$12^(30+1)*F50*E50,0)</f>
        <v>0</v>
      </c>
      <c r="H50" s="35">
        <f>IF(30&lt;PARAMETROS!$C$6,PARAMETROS!$C$12^30*F50,0)</f>
        <v>0</v>
      </c>
    </row>
    <row r="51" spans="2:8" ht="15.75" customHeight="1" x14ac:dyDescent="0.3">
      <c r="B51" s="12">
        <v>31</v>
      </c>
      <c r="C51" s="27">
        <f>PARAMETROS!$C$5+31</f>
        <v>51</v>
      </c>
      <c r="D51" s="13">
        <f>IFERROR(INDEX(TABLA_MORT!$C$4:$C$103,MATCH(C51,TABLA_MORT!$B$4:$B$103,0)),0)</f>
        <v>67322.38</v>
      </c>
      <c r="E51" s="14">
        <f>IFERROR(INDEX(TABLA_MORT!$E$4:$E$103,MATCH(C51,TABLA_MORT!$B$4:$B$103,0)),0)</f>
        <v>2.6809099999999999E-2</v>
      </c>
      <c r="F51" s="14">
        <f>IFERROR(D51/INDEX(TABLA_MORT!$C$4:$C$103,MATCH(PARAMETROS!$C$5,TABLA_MORT!$B$4:$B$103,0)),0)</f>
        <v>0.69737863891211616</v>
      </c>
      <c r="G51" s="36">
        <f>IF(31&lt;PARAMETROS!$C$6,PARAMETROS!$C$12^(31+1)*F51*E51,0)</f>
        <v>0</v>
      </c>
      <c r="H51" s="36">
        <f>IF(31&lt;PARAMETROS!$C$6,PARAMETROS!$C$12^31*F51,0)</f>
        <v>0</v>
      </c>
    </row>
    <row r="52" spans="2:8" ht="15.75" customHeight="1" x14ac:dyDescent="0.3">
      <c r="B52" s="7">
        <v>32</v>
      </c>
      <c r="C52" s="26">
        <f>PARAMETROS!$C$5+32</f>
        <v>52</v>
      </c>
      <c r="D52" s="8">
        <f>IFERROR(INDEX(TABLA_MORT!$C$4:$C$103,MATCH(C52,TABLA_MORT!$B$4:$B$103,0)),0)</f>
        <v>65517.531000000003</v>
      </c>
      <c r="E52" s="9">
        <f>IFERROR(INDEX(TABLA_MORT!$E$4:$E$103,MATCH(C52,TABLA_MORT!$B$4:$B$103,0)),0)</f>
        <v>2.88413E-2</v>
      </c>
      <c r="F52" s="9">
        <f>IFERROR(D52/INDEX(TABLA_MORT!$C$4:$C$103,MATCH(PARAMETROS!$C$5,TABLA_MORT!$B$4:$B$103,0)),0)</f>
        <v>0.67868258064647113</v>
      </c>
      <c r="G52" s="35">
        <f>IF(32&lt;PARAMETROS!$C$6,PARAMETROS!$C$12^(32+1)*F52*E52,0)</f>
        <v>0</v>
      </c>
      <c r="H52" s="35">
        <f>IF(32&lt;PARAMETROS!$C$6,PARAMETROS!$C$12^32*F52,0)</f>
        <v>0</v>
      </c>
    </row>
    <row r="53" spans="2:8" ht="15.75" customHeight="1" x14ac:dyDescent="0.3">
      <c r="B53" s="12">
        <v>33</v>
      </c>
      <c r="C53" s="27">
        <f>PARAMETROS!$C$5+33</f>
        <v>53</v>
      </c>
      <c r="D53" s="13">
        <f>IFERROR(INDEX(TABLA_MORT!$C$4:$C$103,MATCH(C53,TABLA_MORT!$B$4:$B$103,0)),0)</f>
        <v>63627.92</v>
      </c>
      <c r="E53" s="14">
        <f>IFERROR(INDEX(TABLA_MORT!$E$4:$E$103,MATCH(C53,TABLA_MORT!$B$4:$B$103,0)),0)</f>
        <v>3.1027599999999999E-2</v>
      </c>
      <c r="F53" s="14">
        <f>IFERROR(D53/INDEX(TABLA_MORT!$C$4:$C$103,MATCH(PARAMETROS!$C$5,TABLA_MORT!$B$4:$B$103,0)),0)</f>
        <v>0.6591084903179153</v>
      </c>
      <c r="G53" s="36">
        <f>IF(33&lt;PARAMETROS!$C$6,PARAMETROS!$C$12^(33+1)*F53*E53,0)</f>
        <v>0</v>
      </c>
      <c r="H53" s="36">
        <f>IF(33&lt;PARAMETROS!$C$6,PARAMETROS!$C$12^33*F53,0)</f>
        <v>0</v>
      </c>
    </row>
    <row r="54" spans="2:8" ht="15.75" customHeight="1" x14ac:dyDescent="0.3">
      <c r="B54" s="7">
        <v>34</v>
      </c>
      <c r="C54" s="26">
        <f>PARAMETROS!$C$5+34</f>
        <v>54</v>
      </c>
      <c r="D54" s="8">
        <f>IFERROR(INDEX(TABLA_MORT!$C$4:$C$103,MATCH(C54,TABLA_MORT!$B$4:$B$103,0)),0)</f>
        <v>61653.697</v>
      </c>
      <c r="E54" s="9">
        <f>IFERROR(INDEX(TABLA_MORT!$E$4:$E$103,MATCH(C54,TABLA_MORT!$B$4:$B$103,0)),0)</f>
        <v>3.3379699999999998E-2</v>
      </c>
      <c r="F54" s="9">
        <f>IFERROR(D54/INDEX(TABLA_MORT!$C$4:$C$103,MATCH(PARAMETROS!$C$5,TABLA_MORT!$B$4:$B$103,0)),0)</f>
        <v>0.63865792174548819</v>
      </c>
      <c r="G54" s="35">
        <f>IF(34&lt;PARAMETROS!$C$6,PARAMETROS!$C$12^(34+1)*F54*E54,0)</f>
        <v>0</v>
      </c>
      <c r="H54" s="35">
        <f>IF(34&lt;PARAMETROS!$C$6,PARAMETROS!$C$12^34*F54,0)</f>
        <v>0</v>
      </c>
    </row>
    <row r="55" spans="2:8" ht="15.75" customHeight="1" x14ac:dyDescent="0.3">
      <c r="B55" s="12">
        <v>35</v>
      </c>
      <c r="C55" s="27">
        <f>PARAMETROS!$C$5+35</f>
        <v>55</v>
      </c>
      <c r="D55" s="13">
        <f>IFERROR(INDEX(TABLA_MORT!$C$4:$C$103,MATCH(C55,TABLA_MORT!$B$4:$B$103,0)),0)</f>
        <v>59595.716999999997</v>
      </c>
      <c r="E55" s="14">
        <f>IFERROR(INDEX(TABLA_MORT!$E$4:$E$103,MATCH(C55,TABLA_MORT!$B$4:$B$103,0)),0)</f>
        <v>3.5909999999999997E-2</v>
      </c>
      <c r="F55" s="14">
        <f>IFERROR(D55/INDEX(TABLA_MORT!$C$4:$C$103,MATCH(PARAMETROS!$C$5,TABLA_MORT!$B$4:$B$103,0)),0)</f>
        <v>0.61733973169771572</v>
      </c>
      <c r="G55" s="36">
        <f>IF(35&lt;PARAMETROS!$C$6,PARAMETROS!$C$12^(35+1)*F55*E55,0)</f>
        <v>0</v>
      </c>
      <c r="H55" s="36">
        <f>IF(35&lt;PARAMETROS!$C$6,PARAMETROS!$C$12^35*F55,0)</f>
        <v>0</v>
      </c>
    </row>
    <row r="56" spans="2:8" ht="15.75" customHeight="1" x14ac:dyDescent="0.3">
      <c r="B56" s="7">
        <v>36</v>
      </c>
      <c r="C56" s="26">
        <f>PARAMETROS!$C$5+36</f>
        <v>56</v>
      </c>
      <c r="D56" s="8">
        <f>IFERROR(INDEX(TABLA_MORT!$C$4:$C$103,MATCH(C56,TABLA_MORT!$B$4:$B$103,0)),0)</f>
        <v>57455.635000000002</v>
      </c>
      <c r="E56" s="9">
        <f>IFERROR(INDEX(TABLA_MORT!$E$4:$E$103,MATCH(C56,TABLA_MORT!$B$4:$B$103,0)),0)</f>
        <v>3.8840899999999998E-2</v>
      </c>
      <c r="F56" s="9">
        <f>IFERROR(D56/INDEX(TABLA_MORT!$C$4:$C$103,MATCH(PARAMETROS!$C$5,TABLA_MORT!$B$4:$B$103,0)),0)</f>
        <v>0.59517106397800168</v>
      </c>
      <c r="G56" s="35">
        <f>IF(36&lt;PARAMETROS!$C$6,PARAMETROS!$C$12^(36+1)*F56*E56,0)</f>
        <v>0</v>
      </c>
      <c r="H56" s="35">
        <f>IF(36&lt;PARAMETROS!$C$6,PARAMETROS!$C$12^36*F56,0)</f>
        <v>0</v>
      </c>
    </row>
    <row r="57" spans="2:8" ht="15.75" customHeight="1" x14ac:dyDescent="0.3">
      <c r="B57" s="12">
        <v>37</v>
      </c>
      <c r="C57" s="27">
        <f>PARAMETROS!$C$5+37</f>
        <v>57</v>
      </c>
      <c r="D57" s="13">
        <f>IFERROR(INDEX(TABLA_MORT!$C$4:$C$103,MATCH(C57,TABLA_MORT!$B$4:$B$103,0)),0)</f>
        <v>55224.006000000001</v>
      </c>
      <c r="E57" s="14">
        <f>IFERROR(INDEX(TABLA_MORT!$E$4:$E$103,MATCH(C57,TABLA_MORT!$B$4:$B$103,0)),0)</f>
        <v>4.2011E-2</v>
      </c>
      <c r="F57" s="14">
        <f>IFERROR(D57/INDEX(TABLA_MORT!$C$4:$C$103,MATCH(PARAMETROS!$C$5,TABLA_MORT!$B$4:$B$103,0)),0)</f>
        <v>0.5720540797808179</v>
      </c>
      <c r="G57" s="36">
        <f>IF(37&lt;PARAMETROS!$C$6,PARAMETROS!$C$12^(37+1)*F57*E57,0)</f>
        <v>0</v>
      </c>
      <c r="H57" s="36">
        <f>IF(37&lt;PARAMETROS!$C$6,PARAMETROS!$C$12^37*F57,0)</f>
        <v>0</v>
      </c>
    </row>
    <row r="58" spans="2:8" ht="15.75" customHeight="1" x14ac:dyDescent="0.3">
      <c r="B58" s="7">
        <v>38</v>
      </c>
      <c r="C58" s="26">
        <f>PARAMETROS!$C$5+38</f>
        <v>58</v>
      </c>
      <c r="D58" s="8">
        <f>IFERROR(INDEX(TABLA_MORT!$C$4:$C$103,MATCH(C58,TABLA_MORT!$B$4:$B$103,0)),0)</f>
        <v>52903.989000000001</v>
      </c>
      <c r="E58" s="9">
        <f>IFERROR(INDEX(TABLA_MORT!$E$4:$E$103,MATCH(C58,TABLA_MORT!$B$4:$B$103,0)),0)</f>
        <v>4.5439899999999998E-2</v>
      </c>
      <c r="F58" s="9">
        <f>IFERROR(D58/INDEX(TABLA_MORT!$C$4:$C$103,MATCH(PARAMETROS!$C$5,TABLA_MORT!$B$4:$B$103,0)),0)</f>
        <v>0.54802150253513859</v>
      </c>
      <c r="G58" s="35">
        <f>IF(38&lt;PARAMETROS!$C$6,PARAMETROS!$C$12^(38+1)*F58*E58,0)</f>
        <v>0</v>
      </c>
      <c r="H58" s="35">
        <f>IF(38&lt;PARAMETROS!$C$6,PARAMETROS!$C$12^38*F58,0)</f>
        <v>0</v>
      </c>
    </row>
    <row r="59" spans="2:8" ht="15.75" customHeight="1" x14ac:dyDescent="0.3">
      <c r="B59" s="12">
        <v>39</v>
      </c>
      <c r="C59" s="27">
        <f>PARAMETROS!$C$5+39</f>
        <v>59</v>
      </c>
      <c r="D59" s="13">
        <f>IFERROR(INDEX(TABLA_MORT!$C$4:$C$103,MATCH(C59,TABLA_MORT!$B$4:$B$103,0)),0)</f>
        <v>50500.038999999997</v>
      </c>
      <c r="E59" s="14">
        <f>IFERROR(INDEX(TABLA_MORT!$E$4:$E$103,MATCH(C59,TABLA_MORT!$B$4:$B$103,0)),0)</f>
        <v>4.9148600000000001E-2</v>
      </c>
      <c r="F59" s="14">
        <f>IFERROR(D59/INDEX(TABLA_MORT!$C$4:$C$103,MATCH(PARAMETROS!$C$5,TABLA_MORT!$B$4:$B$103,0)),0)</f>
        <v>0.52311948066644076</v>
      </c>
      <c r="G59" s="36">
        <f>IF(39&lt;PARAMETROS!$C$6,PARAMETROS!$C$12^(39+1)*F59*E59,0)</f>
        <v>0</v>
      </c>
      <c r="H59" s="36">
        <f>IF(39&lt;PARAMETROS!$C$6,PARAMETROS!$C$12^39*F59,0)</f>
        <v>0</v>
      </c>
    </row>
    <row r="60" spans="2:8" ht="15.75" customHeight="1" x14ac:dyDescent="0.3">
      <c r="B60" s="7">
        <v>40</v>
      </c>
      <c r="C60" s="26">
        <f>PARAMETROS!$C$5+40</f>
        <v>60</v>
      </c>
      <c r="D60" s="8">
        <f>IFERROR(INDEX(TABLA_MORT!$C$4:$C$103,MATCH(C60,TABLA_MORT!$B$4:$B$103,0)),0)</f>
        <v>48018.033000000003</v>
      </c>
      <c r="E60" s="9">
        <f>IFERROR(INDEX(TABLA_MORT!$E$4:$E$103,MATCH(C60,TABLA_MORT!$B$4:$B$103,0)),0)</f>
        <v>5.3159999999999999E-2</v>
      </c>
      <c r="F60" s="9">
        <f>IFERROR(D60/INDEX(TABLA_MORT!$C$4:$C$103,MATCH(PARAMETROS!$C$5,TABLA_MORT!$B$4:$B$103,0)),0)</f>
        <v>0.49740889280469702</v>
      </c>
      <c r="G60" s="35">
        <f>IF(40&lt;PARAMETROS!$C$6,PARAMETROS!$C$12^(40+1)*F60*E60,0)</f>
        <v>0</v>
      </c>
      <c r="H60" s="35">
        <f>IF(40&lt;PARAMETROS!$C$6,PARAMETROS!$C$12^40*F60,0)</f>
        <v>0</v>
      </c>
    </row>
    <row r="61" spans="2:8" ht="15.75" customHeight="1" x14ac:dyDescent="0.3">
      <c r="B61" s="12">
        <v>41</v>
      </c>
      <c r="C61" s="27">
        <f>PARAMETROS!$C$5+41</f>
        <v>61</v>
      </c>
      <c r="D61" s="13">
        <f>IFERROR(INDEX(TABLA_MORT!$C$4:$C$103,MATCH(C61,TABLA_MORT!$B$4:$B$103,0)),0)</f>
        <v>45465.394</v>
      </c>
      <c r="E61" s="14">
        <f>IFERROR(INDEX(TABLA_MORT!$E$4:$E$103,MATCH(C61,TABLA_MORT!$B$4:$B$103,0)),0)</f>
        <v>5.7411400000000001E-2</v>
      </c>
      <c r="F61" s="14">
        <f>IFERROR(D61/INDEX(TABLA_MORT!$C$4:$C$103,MATCH(PARAMETROS!$C$5,TABLA_MORT!$B$4:$B$103,0)),0)</f>
        <v>0.4709666322747813</v>
      </c>
      <c r="G61" s="36">
        <f>IF(41&lt;PARAMETROS!$C$6,PARAMETROS!$C$12^(41+1)*F61*E61,0)</f>
        <v>0</v>
      </c>
      <c r="H61" s="36">
        <f>IF(41&lt;PARAMETROS!$C$6,PARAMETROS!$C$12^41*F61,0)</f>
        <v>0</v>
      </c>
    </row>
    <row r="62" spans="2:8" ht="15.75" customHeight="1" x14ac:dyDescent="0.3">
      <c r="B62" s="7">
        <v>42</v>
      </c>
      <c r="C62" s="26">
        <f>PARAMETROS!$C$5+42</f>
        <v>62</v>
      </c>
      <c r="D62" s="8">
        <f>IFERROR(INDEX(TABLA_MORT!$C$4:$C$103,MATCH(C62,TABLA_MORT!$B$4:$B$103,0)),0)</f>
        <v>42855.161999999997</v>
      </c>
      <c r="E62" s="9">
        <f>IFERROR(INDEX(TABLA_MORT!$E$4:$E$103,MATCH(C62,TABLA_MORT!$B$4:$B$103,0)),0)</f>
        <v>6.2002799999999997E-2</v>
      </c>
      <c r="F62" s="9">
        <f>IFERROR(D62/INDEX(TABLA_MORT!$C$4:$C$103,MATCH(PARAMETROS!$C$5,TABLA_MORT!$B$4:$B$103,0)),0)</f>
        <v>0.44392777774520509</v>
      </c>
      <c r="G62" s="35">
        <f>IF(42&lt;PARAMETROS!$C$6,PARAMETROS!$C$12^(42+1)*F62*E62,0)</f>
        <v>0</v>
      </c>
      <c r="H62" s="35">
        <f>IF(42&lt;PARAMETROS!$C$6,PARAMETROS!$C$12^42*F62,0)</f>
        <v>0</v>
      </c>
    </row>
    <row r="63" spans="2:8" ht="15.75" customHeight="1" x14ac:dyDescent="0.3">
      <c r="B63" s="12">
        <v>43</v>
      </c>
      <c r="C63" s="27">
        <f>PARAMETROS!$C$5+43</f>
        <v>63</v>
      </c>
      <c r="D63" s="13">
        <f>IFERROR(INDEX(TABLA_MORT!$C$4:$C$103,MATCH(C63,TABLA_MORT!$B$4:$B$103,0)),0)</f>
        <v>40198.021000000001</v>
      </c>
      <c r="E63" s="14">
        <f>IFERROR(INDEX(TABLA_MORT!$E$4:$E$103,MATCH(C63,TABLA_MORT!$B$4:$B$103,0)),0)</f>
        <v>6.6961400000000004E-2</v>
      </c>
      <c r="F63" s="14">
        <f>IFERROR(D63/INDEX(TABLA_MORT!$C$4:$C$103,MATCH(PARAMETROS!$C$5,TABLA_MORT!$B$4:$B$103,0)),0)</f>
        <v>0.41640300256676405</v>
      </c>
      <c r="G63" s="36">
        <f>IF(43&lt;PARAMETROS!$C$6,PARAMETROS!$C$12^(43+1)*F63*E63,0)</f>
        <v>0</v>
      </c>
      <c r="H63" s="36">
        <f>IF(43&lt;PARAMETROS!$C$6,PARAMETROS!$C$12^43*F63,0)</f>
        <v>0</v>
      </c>
    </row>
    <row r="64" spans="2:8" ht="15.75" customHeight="1" x14ac:dyDescent="0.3">
      <c r="B64" s="7">
        <v>44</v>
      </c>
      <c r="C64" s="26">
        <f>PARAMETROS!$C$5+44</f>
        <v>64</v>
      </c>
      <c r="D64" s="8">
        <f>IFERROR(INDEX(TABLA_MORT!$C$4:$C$103,MATCH(C64,TABLA_MORT!$B$4:$B$103,0)),0)</f>
        <v>37506.305</v>
      </c>
      <c r="E64" s="9">
        <f>IFERROR(INDEX(TABLA_MORT!$E$4:$E$103,MATCH(C64,TABLA_MORT!$B$4:$B$103,0)),0)</f>
        <v>7.2316599999999995E-2</v>
      </c>
      <c r="F64" s="9">
        <f>IFERROR(D64/INDEX(TABLA_MORT!$C$4:$C$103,MATCH(PARAMETROS!$C$5,TABLA_MORT!$B$4:$B$103,0)),0)</f>
        <v>0.38852007209968953</v>
      </c>
      <c r="G64" s="35">
        <f>IF(44&lt;PARAMETROS!$C$6,PARAMETROS!$C$12^(44+1)*F64*E64,0)</f>
        <v>0</v>
      </c>
      <c r="H64" s="35">
        <f>IF(44&lt;PARAMETROS!$C$6,PARAMETROS!$C$12^44*F64,0)</f>
        <v>0</v>
      </c>
    </row>
    <row r="65" spans="2:9" ht="15.75" customHeight="1" x14ac:dyDescent="0.3">
      <c r="B65" s="12">
        <v>45</v>
      </c>
      <c r="C65" s="27">
        <f>PARAMETROS!$C$5+45</f>
        <v>65</v>
      </c>
      <c r="D65" s="13">
        <f>IFERROR(INDEX(TABLA_MORT!$C$4:$C$103,MATCH(C65,TABLA_MORT!$B$4:$B$103,0)),0)</f>
        <v>34793.978000000003</v>
      </c>
      <c r="E65" s="14">
        <f>IFERROR(INDEX(TABLA_MORT!$E$4:$E$103,MATCH(C65,TABLA_MORT!$B$4:$B$103,0)),0)</f>
        <v>7.8100000000000003E-2</v>
      </c>
      <c r="F65" s="14">
        <f>IFERROR(D65/INDEX(TABLA_MORT!$C$4:$C$103,MATCH(PARAMETROS!$C$5,TABLA_MORT!$B$4:$B$103,0)),0)</f>
        <v>0.36042363653777709</v>
      </c>
      <c r="G65" s="36">
        <f>IF(45&lt;PARAMETROS!$C$6,PARAMETROS!$C$12^(45+1)*F65*E65,0)</f>
        <v>0</v>
      </c>
      <c r="H65" s="36">
        <f>IF(45&lt;PARAMETROS!$C$6,PARAMETROS!$C$12^45*F65,0)</f>
        <v>0</v>
      </c>
    </row>
    <row r="66" spans="2:9" ht="15.75" customHeight="1" x14ac:dyDescent="0.3">
      <c r="B66" s="7">
        <v>46</v>
      </c>
      <c r="C66" s="26">
        <f>PARAMETROS!$C$5+46</f>
        <v>66</v>
      </c>
      <c r="D66" s="8">
        <f>IFERROR(INDEX(TABLA_MORT!$C$4:$C$103,MATCH(C66,TABLA_MORT!$B$4:$B$103,0)),0)</f>
        <v>32076.567999999999</v>
      </c>
      <c r="E66" s="9">
        <f>IFERROR(INDEX(TABLA_MORT!$E$4:$E$103,MATCH(C66,TABLA_MORT!$B$4:$B$103,0)),0)</f>
        <v>8.3999000000000004E-2</v>
      </c>
      <c r="F66" s="9">
        <f>IFERROR(D66/INDEX(TABLA_MORT!$C$4:$C$103,MATCH(PARAMETROS!$C$5,TABLA_MORT!$B$4:$B$103,0)),0)</f>
        <v>0.33227454722800859</v>
      </c>
      <c r="G66" s="35">
        <f>IF(46&lt;PARAMETROS!$C$6,PARAMETROS!$C$12^(46+1)*F66*E66,0)</f>
        <v>0</v>
      </c>
      <c r="H66" s="35">
        <f>IF(46&lt;PARAMETROS!$C$6,PARAMETROS!$C$12^46*F66,0)</f>
        <v>0</v>
      </c>
    </row>
    <row r="67" spans="2:9" ht="15.75" customHeight="1" x14ac:dyDescent="0.3">
      <c r="B67" s="12">
        <v>47</v>
      </c>
      <c r="C67" s="27">
        <f>PARAMETROS!$C$5+47</f>
        <v>67</v>
      </c>
      <c r="D67" s="13">
        <f>IFERROR(INDEX(TABLA_MORT!$C$4:$C$103,MATCH(C67,TABLA_MORT!$B$4:$B$103,0)),0)</f>
        <v>29382.169000000002</v>
      </c>
      <c r="E67" s="14">
        <f>IFERROR(INDEX(TABLA_MORT!$E$4:$E$103,MATCH(C67,TABLA_MORT!$B$4:$B$103,0)),0)</f>
        <v>9.0343499999999993E-2</v>
      </c>
      <c r="F67" s="14">
        <f>IFERROR(D67/INDEX(TABLA_MORT!$C$4:$C$103,MATCH(PARAMETROS!$C$5,TABLA_MORT!$B$4:$B$103,0)),0)</f>
        <v>0.30436382411771201</v>
      </c>
      <c r="G67" s="36">
        <f>IF(47&lt;PARAMETROS!$C$6,PARAMETROS!$C$12^(47+1)*F67*E67,0)</f>
        <v>0</v>
      </c>
      <c r="H67" s="36">
        <f>IF(47&lt;PARAMETROS!$C$6,PARAMETROS!$C$12^47*F67,0)</f>
        <v>0</v>
      </c>
    </row>
    <row r="68" spans="2:9" ht="15.75" customHeight="1" x14ac:dyDescent="0.3">
      <c r="B68" s="7">
        <v>48</v>
      </c>
      <c r="C68" s="26">
        <f>PARAMETROS!$C$5+48</f>
        <v>68</v>
      </c>
      <c r="D68" s="8">
        <f>IFERROR(INDEX(TABLA_MORT!$C$4:$C$103,MATCH(C68,TABLA_MORT!$B$4:$B$103,0)),0)</f>
        <v>26727.679</v>
      </c>
      <c r="E68" s="9">
        <f>IFERROR(INDEX(TABLA_MORT!$E$4:$E$103,MATCH(C68,TABLA_MORT!$B$4:$B$103,0)),0)</f>
        <v>9.7167299999999998E-2</v>
      </c>
      <c r="F68" s="9">
        <f>IFERROR(D68/INDEX(TABLA_MORT!$C$4:$C$103,MATCH(PARAMETROS!$C$5,TABLA_MORT!$B$4:$B$103,0)),0)</f>
        <v>0.27686651010109786</v>
      </c>
      <c r="G68" s="35">
        <f>IF(48&lt;PARAMETROS!$C$6,PARAMETROS!$C$12^(48+1)*F68*E68,0)</f>
        <v>0</v>
      </c>
      <c r="H68" s="35">
        <f>IF(48&lt;PARAMETROS!$C$6,PARAMETROS!$C$12^48*F68,0)</f>
        <v>0</v>
      </c>
    </row>
    <row r="69" spans="2:9" ht="15.75" customHeight="1" x14ac:dyDescent="0.3">
      <c r="B69" s="12">
        <v>49</v>
      </c>
      <c r="C69" s="27">
        <f>PARAMETROS!$C$5+49</f>
        <v>69</v>
      </c>
      <c r="D69" s="13">
        <f>IFERROR(INDEX(TABLA_MORT!$C$4:$C$103,MATCH(C69,TABLA_MORT!$B$4:$B$103,0)),0)</f>
        <v>24130.621999999999</v>
      </c>
      <c r="E69" s="14">
        <f>IFERROR(INDEX(TABLA_MORT!$E$4:$E$103,MATCH(C69,TABLA_MORT!$B$4:$B$103,0)),0)</f>
        <v>0.1045065</v>
      </c>
      <c r="F69" s="14">
        <f>IFERROR(D69/INDEX(TABLA_MORT!$C$4:$C$103,MATCH(PARAMETROS!$C$5,TABLA_MORT!$B$4:$B$103,0)),0)</f>
        <v>0.24996413267716866</v>
      </c>
      <c r="G69" s="36">
        <f>IF(49&lt;PARAMETROS!$C$6,PARAMETROS!$C$12^(49+1)*F69*E69,0)</f>
        <v>0</v>
      </c>
      <c r="H69" s="36">
        <f>IF(49&lt;PARAMETROS!$C$6,PARAMETROS!$C$12^49*F69,0)</f>
        <v>0</v>
      </c>
    </row>
    <row r="71" spans="2:9" ht="24" customHeight="1" x14ac:dyDescent="0.3">
      <c r="B71" s="65" t="s">
        <v>89</v>
      </c>
      <c r="C71" s="65"/>
      <c r="D71" s="65"/>
      <c r="E71" s="65"/>
      <c r="F71" s="65"/>
      <c r="G71" s="65"/>
      <c r="H71" s="65"/>
      <c r="I71" s="65"/>
    </row>
    <row r="72" spans="2:9" ht="19.5" customHeight="1" x14ac:dyDescent="0.3">
      <c r="B72" s="17" t="s">
        <v>90</v>
      </c>
      <c r="C72" s="37">
        <f>SUMPRODUCT((ROW(G20:G69)-19&lt;PARAMETROS!$C$6)*G20:G69)</f>
        <v>8.7163167265202998E-2</v>
      </c>
      <c r="D72" s="19" t="s">
        <v>91</v>
      </c>
    </row>
    <row r="73" spans="2:9" ht="19.5" customHeight="1" x14ac:dyDescent="0.3">
      <c r="B73" s="20" t="s">
        <v>92</v>
      </c>
      <c r="C73" s="38">
        <f>PARAMETROS!$C$12^PARAMETROS!$C$6*IFERROR(INDEX(TABLA_MORT!$C$4:$C$103,MATCH(PARAMETROS!$C$5+PARAMETROS!$C$6,TABLA_MORT!$B$4:$B$103,0))/INDEX(TABLA_MORT!$C$4:$C$103,MATCH(PARAMETROS!$C$5,TABLA_MORT!$B$4:$B$103,0)),0)</f>
        <v>0.35354373702188013</v>
      </c>
      <c r="D73" s="19" t="s">
        <v>93</v>
      </c>
    </row>
    <row r="74" spans="2:9" ht="19.5" customHeight="1" x14ac:dyDescent="0.3">
      <c r="B74" s="17" t="s">
        <v>94</v>
      </c>
      <c r="C74" s="37">
        <f>C72+C73</f>
        <v>0.44070690428708315</v>
      </c>
      <c r="D74" s="19" t="s">
        <v>95</v>
      </c>
    </row>
    <row r="75" spans="2:9" ht="19.5" customHeight="1" x14ac:dyDescent="0.3">
      <c r="B75" s="20" t="s">
        <v>96</v>
      </c>
      <c r="C75" s="38">
        <f>SUMPRODUCT(G20:G69)</f>
        <v>9.1446717835561742E-2</v>
      </c>
      <c r="D75" s="19" t="s">
        <v>97</v>
      </c>
    </row>
    <row r="76" spans="2:9" ht="19.5" customHeight="1" x14ac:dyDescent="0.3">
      <c r="B76" s="17" t="s">
        <v>98</v>
      </c>
      <c r="C76" s="37">
        <f>SUMPRODUCT(H20:H69)</f>
        <v>12.888558444410554</v>
      </c>
      <c r="D76" s="19" t="s">
        <v>99</v>
      </c>
    </row>
    <row r="77" spans="2:9" ht="19.5" customHeight="1" x14ac:dyDescent="0.3">
      <c r="B77" s="20" t="s">
        <v>100</v>
      </c>
      <c r="C77" s="38">
        <f>(1-C74)/PARAMETROS!$C$13</f>
        <v>12.988028555999957</v>
      </c>
      <c r="D77" s="19" t="s">
        <v>101</v>
      </c>
    </row>
    <row r="78" spans="2:9" ht="19.5" customHeight="1" x14ac:dyDescent="0.3"/>
    <row r="79" spans="2:9" ht="19.5" customHeight="1" x14ac:dyDescent="0.3">
      <c r="B79" s="20" t="s">
        <v>102</v>
      </c>
      <c r="C79" s="39">
        <f>PARAMETROS!$C$7*C72/C76</f>
        <v>6762.8329142584198</v>
      </c>
      <c r="D79" s="19" t="s">
        <v>103</v>
      </c>
    </row>
    <row r="80" spans="2:9" ht="19.5" customHeight="1" x14ac:dyDescent="0.3">
      <c r="B80" s="17" t="s">
        <v>104</v>
      </c>
      <c r="C80" s="39">
        <f>(PARAMETROS!$C$7*C72+PARAMETROS!$C$16*PARAMETROS!$C$7)/((1-PARAMETROS!$C$17-PARAMETROS!$C$18)*C76)</f>
        <v>9774.7083840706582</v>
      </c>
      <c r="D80" s="19" t="s">
        <v>105</v>
      </c>
    </row>
    <row r="81" spans="2:4" ht="19.5" customHeight="1" x14ac:dyDescent="0.3">
      <c r="B81" s="20" t="s">
        <v>106</v>
      </c>
      <c r="C81" s="39">
        <f>C80-C79</f>
        <v>3011.8754698122384</v>
      </c>
      <c r="D81" s="19" t="s">
        <v>107</v>
      </c>
    </row>
    <row r="82" spans="2:4" ht="19.5" customHeight="1" x14ac:dyDescent="0.3">
      <c r="B82" s="17" t="s">
        <v>108</v>
      </c>
      <c r="C82" s="40">
        <f>IFERROR((C80-C79)/C80,0)</f>
        <v>0.30812944504007278</v>
      </c>
      <c r="D82" s="19" t="s">
        <v>109</v>
      </c>
    </row>
    <row r="83" spans="2:4" ht="19.5" customHeight="1" x14ac:dyDescent="0.3">
      <c r="B83" s="20" t="s">
        <v>110</v>
      </c>
      <c r="C83" s="16">
        <f>C72/PARAMETROS!$C$7*1000</f>
        <v>8.7163167265202996E-5</v>
      </c>
      <c r="D83" s="19" t="s">
        <v>111</v>
      </c>
    </row>
  </sheetData>
  <mergeCells count="5">
    <mergeCell ref="B1:I1"/>
    <mergeCell ref="B2:I2"/>
    <mergeCell ref="B4:I4"/>
    <mergeCell ref="B17:I17"/>
    <mergeCell ref="B71:I7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C6600"/>
  </sheetPr>
  <dimension ref="B1:C20"/>
  <sheetViews>
    <sheetView showGridLines="0" zoomScaleNormal="100" workbookViewId="0">
      <selection activeCell="H6" sqref="H6"/>
    </sheetView>
  </sheetViews>
  <sheetFormatPr baseColWidth="10" defaultColWidth="8.6640625" defaultRowHeight="14.4" x14ac:dyDescent="0.3"/>
  <cols>
    <col min="1" max="1" width="3" customWidth="1"/>
    <col min="2" max="2" width="28" customWidth="1"/>
    <col min="3" max="3" width="29.21875" customWidth="1"/>
    <col min="4" max="4" width="4" customWidth="1"/>
  </cols>
  <sheetData>
    <row r="1" spans="2:3" ht="39.75" customHeight="1" x14ac:dyDescent="0.3">
      <c r="B1" s="66" t="s">
        <v>112</v>
      </c>
      <c r="C1" s="66"/>
    </row>
    <row r="2" spans="2:3" ht="19.5" customHeight="1" x14ac:dyDescent="0.3">
      <c r="B2" s="63" t="s">
        <v>113</v>
      </c>
      <c r="C2" s="63"/>
    </row>
    <row r="4" spans="2:3" ht="24" customHeight="1" x14ac:dyDescent="0.3">
      <c r="B4" s="57" t="s">
        <v>114</v>
      </c>
      <c r="C4" s="57"/>
    </row>
    <row r="5" spans="2:3" ht="19.5" customHeight="1" x14ac:dyDescent="0.3">
      <c r="B5" s="41" t="s">
        <v>115</v>
      </c>
      <c r="C5" s="42" t="str">
        <f>PARAMETROS!C5&amp;" años"</f>
        <v>20 años</v>
      </c>
    </row>
    <row r="6" spans="2:3" ht="19.5" customHeight="1" x14ac:dyDescent="0.3">
      <c r="B6" s="43" t="s">
        <v>116</v>
      </c>
      <c r="C6" s="44" t="str">
        <f>PARAMETROS!C6&amp;" años"</f>
        <v>20 años</v>
      </c>
    </row>
    <row r="7" spans="2:3" ht="19.5" customHeight="1" x14ac:dyDescent="0.3">
      <c r="B7" s="41" t="s">
        <v>117</v>
      </c>
      <c r="C7" s="42" t="str">
        <f>TEXT(PARAMETROS!C7,"$#,##0")</f>
        <v>$1,000,000</v>
      </c>
    </row>
    <row r="8" spans="2:3" ht="19.5" customHeight="1" x14ac:dyDescent="0.3">
      <c r="B8" s="43" t="s">
        <v>53</v>
      </c>
      <c r="C8" s="44" t="str">
        <f>PARAMETROS!C8</f>
        <v>Vida Entera</v>
      </c>
    </row>
    <row r="9" spans="2:3" ht="19.5" customHeight="1" x14ac:dyDescent="0.3">
      <c r="B9" s="41" t="s">
        <v>118</v>
      </c>
      <c r="C9" s="42" t="str">
        <f>TEXT(PARAMETROS!C11,"0.00%")</f>
        <v>4.50%</v>
      </c>
    </row>
    <row r="11" spans="2:3" ht="24" customHeight="1" x14ac:dyDescent="0.3">
      <c r="B11" s="57" t="s">
        <v>119</v>
      </c>
      <c r="C11" s="57"/>
    </row>
    <row r="12" spans="2:3" ht="21.75" customHeight="1" x14ac:dyDescent="0.3">
      <c r="B12" s="45" t="s">
        <v>120</v>
      </c>
      <c r="C12" s="42" t="str">
        <f>TEXT(CALCULO!C68,"0.000000")</f>
        <v>68.000000</v>
      </c>
    </row>
    <row r="13" spans="2:3" ht="21.75" customHeight="1" x14ac:dyDescent="0.3">
      <c r="B13" s="46" t="s">
        <v>98</v>
      </c>
      <c r="C13" s="44" t="str">
        <f>TEXT(CALCULO!C72,"0.000000")</f>
        <v>0.087163</v>
      </c>
    </row>
    <row r="14" spans="2:3" ht="21.75" customHeight="1" x14ac:dyDescent="0.3">
      <c r="B14" s="47" t="s">
        <v>121</v>
      </c>
      <c r="C14" s="48" t="str">
        <f>TEXT(CALCULO!C75,"$#,##0.00")</f>
        <v>$0.09</v>
      </c>
    </row>
    <row r="15" spans="2:3" ht="21.75" customHeight="1" x14ac:dyDescent="0.3">
      <c r="B15" s="47" t="s">
        <v>122</v>
      </c>
      <c r="C15" s="48" t="str">
        <f>TEXT(CALCULO!C76,"$#,##0.00")</f>
        <v>$12.89</v>
      </c>
    </row>
    <row r="16" spans="2:3" ht="21.75" customHeight="1" x14ac:dyDescent="0.3">
      <c r="B16" s="45" t="s">
        <v>123</v>
      </c>
      <c r="C16" s="42" t="str">
        <f>TEXT(CALCULO!C77,"$#,##0.00")</f>
        <v>$12.99</v>
      </c>
    </row>
    <row r="17" spans="2:3" ht="21.75" customHeight="1" x14ac:dyDescent="0.3">
      <c r="B17" s="46" t="s">
        <v>108</v>
      </c>
      <c r="C17" s="44" t="str">
        <f>TEXT(CALCULO!C78,"0.0%")</f>
        <v>0.0%</v>
      </c>
    </row>
    <row r="20" spans="2:3" ht="36" customHeight="1" x14ac:dyDescent="0.3">
      <c r="B20" s="67" t="s">
        <v>124</v>
      </c>
      <c r="C20" s="67"/>
    </row>
  </sheetData>
  <mergeCells count="5">
    <mergeCell ref="B1:C1"/>
    <mergeCell ref="B2:C2"/>
    <mergeCell ref="B4:C4"/>
    <mergeCell ref="B11:C11"/>
    <mergeCell ref="B20:C20"/>
  </mergeCells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17</vt:i4>
      </vt:variant>
    </vt:vector>
  </HeadingPairs>
  <TitlesOfParts>
    <vt:vector size="22" baseType="lpstr">
      <vt:lpstr>PORTADA</vt:lpstr>
      <vt:lpstr>TABLA_MORT</vt:lpstr>
      <vt:lpstr>PARAMETROS</vt:lpstr>
      <vt:lpstr>CALCULO</vt:lpstr>
      <vt:lpstr>REPORTE</vt:lpstr>
      <vt:lpstr>Anualidad_Temp</vt:lpstr>
      <vt:lpstr>edad_emision</vt:lpstr>
      <vt:lpstr>factor_v</vt:lpstr>
      <vt:lpstr>gasto_alpha</vt:lpstr>
      <vt:lpstr>gasto_beta</vt:lpstr>
      <vt:lpstr>gasto_gamma</vt:lpstr>
      <vt:lpstr>NSP_Dotal</vt:lpstr>
      <vt:lpstr>NSP_DotalMixto</vt:lpstr>
      <vt:lpstr>NSP_Temporal</vt:lpstr>
      <vt:lpstr>NSP_VidaEntera</vt:lpstr>
      <vt:lpstr>plazo_seguro</vt:lpstr>
      <vt:lpstr>PRIMA_BRUTA</vt:lpstr>
      <vt:lpstr>PRIMA_NETA</vt:lpstr>
      <vt:lpstr>suma_asegurada</vt:lpstr>
      <vt:lpstr>tasa_d</vt:lpstr>
      <vt:lpstr>tasa_tecnica</vt:lpstr>
      <vt:lpstr>tipo_producto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Portafolio Actuarial – Proyecto 01</dc:title>
  <dc:subject>Calculadora de Primas de Seguros de Vida</dc:subject>
  <dc:creator>Portafolio Actuarial</dc:creator>
  <dc:description/>
  <cp:lastModifiedBy>Emiliano Guillen</cp:lastModifiedBy>
  <cp:revision>0</cp:revision>
  <cp:lastPrinted>2026-05-11T06:31:12Z</cp:lastPrinted>
  <dcterms:created xsi:type="dcterms:W3CDTF">2026-05-11T03:12:26Z</dcterms:created>
  <dcterms:modified xsi:type="dcterms:W3CDTF">2026-05-12T01:05:29Z</dcterms:modified>
  <dc:language>en-US</dc:language>
</cp:coreProperties>
</file>